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SH\ArtixMix\"/>
    </mc:Choice>
  </mc:AlternateContent>
  <xr:revisionPtr revIDLastSave="0" documentId="13_ncr:1_{5A4B57C2-0A2E-4D79-97F8-36E94335CF43}" xr6:coauthVersionLast="47" xr6:coauthVersionMax="47" xr10:uidLastSave="{00000000-0000-0000-0000-000000000000}"/>
  <bookViews>
    <workbookView xWindow="-108" yWindow="-108" windowWidth="23256" windowHeight="12456" activeTab="1" xr2:uid="{162F6800-650B-40DC-87AA-5313FF53ABEB}"/>
  </bookViews>
  <sheets>
    <sheet name="Vol Control" sheetId="1" r:id="rId1"/>
    <sheet name="Filt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8" i="2" l="1"/>
  <c r="J19" i="2"/>
  <c r="J18" i="2"/>
  <c r="J17" i="2"/>
  <c r="J16" i="2"/>
  <c r="J15" i="2"/>
  <c r="J14" i="2"/>
  <c r="C15" i="2"/>
  <c r="C16" i="2"/>
  <c r="C17" i="2"/>
  <c r="C19" i="2"/>
  <c r="C14" i="2"/>
  <c r="J2" i="2"/>
  <c r="J3" i="2"/>
  <c r="J4" i="2"/>
  <c r="J5" i="2"/>
  <c r="J6" i="2"/>
  <c r="J7" i="2"/>
  <c r="C3" i="2"/>
  <c r="C4" i="2"/>
  <c r="C5" i="2"/>
  <c r="C6" i="2"/>
  <c r="C7" i="2"/>
  <c r="C2" i="2"/>
  <c r="S3" i="1"/>
  <c r="S4" i="1"/>
  <c r="S5" i="1"/>
  <c r="S6" i="1"/>
  <c r="S7" i="1"/>
  <c r="S8" i="1"/>
  <c r="S9" i="1"/>
  <c r="S10" i="1"/>
  <c r="S11" i="1"/>
  <c r="S12" i="1"/>
  <c r="S13" i="1"/>
  <c r="S14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2" i="1"/>
  <c r="M3" i="1"/>
  <c r="M4" i="1"/>
  <c r="M5" i="1"/>
  <c r="M6" i="1"/>
  <c r="M7" i="1"/>
  <c r="M8" i="1"/>
  <c r="M9" i="1"/>
  <c r="M10" i="1"/>
  <c r="M11" i="1"/>
  <c r="M12" i="1"/>
  <c r="M13" i="1"/>
  <c r="M14" i="1"/>
  <c r="M2" i="1"/>
  <c r="K3" i="1"/>
  <c r="K4" i="1"/>
  <c r="K5" i="1"/>
  <c r="K6" i="1"/>
  <c r="K7" i="1"/>
  <c r="K8" i="1"/>
  <c r="K9" i="1"/>
  <c r="K10" i="1"/>
  <c r="K11" i="1"/>
  <c r="K12" i="1"/>
  <c r="K13" i="1"/>
  <c r="K14" i="1"/>
  <c r="K2" i="1"/>
  <c r="E8" i="1"/>
  <c r="E3" i="1"/>
  <c r="E4" i="1"/>
  <c r="E5" i="1"/>
  <c r="E6" i="1"/>
  <c r="E7" i="1"/>
  <c r="E9" i="1"/>
  <c r="E10" i="1"/>
  <c r="E11" i="1"/>
  <c r="E12" i="1"/>
  <c r="E13" i="1"/>
  <c r="E14" i="1"/>
  <c r="E2" i="1"/>
</calcChain>
</file>

<file path=xl/sharedStrings.xml><?xml version="1.0" encoding="utf-8"?>
<sst xmlns="http://schemas.openxmlformats.org/spreadsheetml/2006/main" count="103" uniqueCount="51">
  <si>
    <t>Amplitude Ratio</t>
  </si>
  <si>
    <t>% of original</t>
  </si>
  <si>
    <t>% change</t>
  </si>
  <si>
    <t>-49.88% loss</t>
  </si>
  <si>
    <t>-43.77% loss</t>
  </si>
  <si>
    <t>-36.90% loss</t>
  </si>
  <si>
    <t>-29.21% loss</t>
  </si>
  <si>
    <t>-20.57% loss</t>
  </si>
  <si>
    <t>-10.87% loss</t>
  </si>
  <si>
    <t>+12.20% gain</t>
  </si>
  <si>
    <t>+25.89% gain</t>
  </si>
  <si>
    <t>+41.25% gain</t>
  </si>
  <si>
    <t>+58.49% gain</t>
  </si>
  <si>
    <t>+77.83% gain</t>
  </si>
  <si>
    <t>+99.53% gain</t>
  </si>
  <si>
    <t>Gain in db</t>
  </si>
  <si>
    <t>Amp ratio x 2^15</t>
  </si>
  <si>
    <t>Rounded off</t>
  </si>
  <si>
    <t>ADC</t>
  </si>
  <si>
    <t>SDC</t>
  </si>
  <si>
    <t>Output</t>
  </si>
  <si>
    <t xml:space="preserve">Error </t>
  </si>
  <si>
    <t>Sr. No</t>
  </si>
  <si>
    <t>Number</t>
  </si>
  <si>
    <t>Hex</t>
  </si>
  <si>
    <t>Roubnded off</t>
  </si>
  <si>
    <t>Amp Ratio</t>
  </si>
  <si>
    <t>Error</t>
  </si>
  <si>
    <t>Input from ADC</t>
  </si>
  <si>
    <t>Input from SDC</t>
  </si>
  <si>
    <t>Theory</t>
  </si>
  <si>
    <t>16 Bit</t>
  </si>
  <si>
    <t>24 Bit</t>
  </si>
  <si>
    <t>Number * 2^16</t>
  </si>
  <si>
    <t>0F36C</t>
  </si>
  <si>
    <t>Co efficient</t>
  </si>
  <si>
    <t>Zero</t>
  </si>
  <si>
    <t>Pole</t>
  </si>
  <si>
    <t>20CE5</t>
  </si>
  <si>
    <t>0AAA9</t>
  </si>
  <si>
    <t>0729B</t>
  </si>
  <si>
    <t>2C7F8</t>
  </si>
  <si>
    <t>2AAAE</t>
  </si>
  <si>
    <t>LPF</t>
  </si>
  <si>
    <t>HPF</t>
  </si>
  <si>
    <t>4K</t>
  </si>
  <si>
    <t>BPF</t>
  </si>
  <si>
    <t>0F9A2</t>
  </si>
  <si>
    <t>01D49</t>
  </si>
  <si>
    <t>00EA5</t>
  </si>
  <si>
    <t>20CBC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</si>
</sst>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9" fontId="0" fillId="0" borderId="0" xfId="0" applyNumberFormat="1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40A05-FE0D-4691-B386-01EF647E2A68}">
  <dimension ref="A1:S17"/>
  <sheetViews>
    <sheetView workbookViewId="0">
      <selection activeCell="C18" sqref="C18"/>
    </sheetView>
  </sheetViews>
  <sheetFormatPr defaultRowHeight="14.4"/>
  <cols>
    <col min="1" max="1" width="8.88671875" bestFit="1" customWidth="1"/>
    <col min="2" max="2" width="13.6640625" bestFit="1" customWidth="1"/>
    <col min="3" max="3" width="10.6640625" bestFit="1" customWidth="1"/>
    <col min="4" max="4" width="11.77734375" bestFit="1" customWidth="1"/>
    <col min="5" max="5" width="14.21875" bestFit="1" customWidth="1"/>
    <col min="6" max="6" width="10.5546875" bestFit="1" customWidth="1"/>
    <col min="8" max="9" width="5" bestFit="1" customWidth="1"/>
    <col min="10" max="10" width="6.44140625" bestFit="1" customWidth="1"/>
    <col min="11" max="11" width="13.6640625" bestFit="1" customWidth="1"/>
    <col min="19" max="19" width="12.6640625" bestFit="1" customWidth="1"/>
  </cols>
  <sheetData>
    <row r="1" spans="1:19">
      <c r="A1" t="s">
        <v>15</v>
      </c>
      <c r="B1" t="s">
        <v>0</v>
      </c>
      <c r="C1" t="s">
        <v>1</v>
      </c>
      <c r="D1" t="s">
        <v>2</v>
      </c>
      <c r="E1" t="s">
        <v>16</v>
      </c>
      <c r="F1" t="s">
        <v>17</v>
      </c>
      <c r="H1" t="s">
        <v>18</v>
      </c>
      <c r="I1" t="s">
        <v>19</v>
      </c>
      <c r="J1" t="s">
        <v>20</v>
      </c>
      <c r="K1" t="s">
        <v>0</v>
      </c>
      <c r="M1" t="s">
        <v>21</v>
      </c>
      <c r="O1" t="s">
        <v>28</v>
      </c>
      <c r="P1" t="s">
        <v>29</v>
      </c>
      <c r="Q1" t="s">
        <v>20</v>
      </c>
      <c r="R1" t="s">
        <v>26</v>
      </c>
      <c r="S1" t="s">
        <v>27</v>
      </c>
    </row>
    <row r="2" spans="1:19">
      <c r="A2">
        <v>-6</v>
      </c>
      <c r="B2">
        <v>0.50119999999999998</v>
      </c>
      <c r="C2" s="1">
        <v>0.50119999999999998</v>
      </c>
      <c r="D2" t="s">
        <v>3</v>
      </c>
      <c r="E2">
        <f>B2*32768</f>
        <v>16423.321599999999</v>
      </c>
      <c r="F2">
        <v>16423</v>
      </c>
      <c r="H2">
        <v>316</v>
      </c>
      <c r="I2">
        <v>4096</v>
      </c>
      <c r="J2">
        <v>2052</v>
      </c>
      <c r="K2">
        <f>J2/I2</f>
        <v>0.5009765625</v>
      </c>
      <c r="M2">
        <f>(K2-B2)*100/B2</f>
        <v>-4.4580506783714856E-2</v>
      </c>
      <c r="O2">
        <v>316</v>
      </c>
      <c r="P2">
        <v>1048576</v>
      </c>
      <c r="Q2">
        <v>525536</v>
      </c>
      <c r="R2">
        <f>Q2/P2</f>
        <v>0.501190185546875</v>
      </c>
      <c r="S2">
        <f>(R2-B2)*100</f>
        <v>-9.8144531249788614E-4</v>
      </c>
    </row>
    <row r="3" spans="1:19">
      <c r="A3">
        <v>-5</v>
      </c>
      <c r="B3">
        <v>0.56230000000000002</v>
      </c>
      <c r="C3" s="1">
        <v>0.56230000000000002</v>
      </c>
      <c r="D3" t="s">
        <v>4</v>
      </c>
      <c r="E3">
        <f t="shared" ref="E3:E8" si="0">B3*32768</f>
        <v>18425.446400000001</v>
      </c>
      <c r="F3">
        <v>18425</v>
      </c>
      <c r="H3">
        <v>631</v>
      </c>
      <c r="I3">
        <v>4096</v>
      </c>
      <c r="J3">
        <v>2303</v>
      </c>
      <c r="K3">
        <f t="shared" ref="K3:K14" si="1">J3/I3</f>
        <v>0.562255859375</v>
      </c>
      <c r="M3">
        <f t="shared" ref="M3:M14" si="2">(K3-B3)*100/B3</f>
        <v>-7.8500133380796765E-3</v>
      </c>
      <c r="O3">
        <v>631</v>
      </c>
      <c r="P3">
        <v>1048576</v>
      </c>
      <c r="Q3">
        <v>589600</v>
      </c>
      <c r="R3">
        <f t="shared" ref="R3:R14" si="3">Q3/P3</f>
        <v>0.562286376953125</v>
      </c>
      <c r="S3">
        <f t="shared" ref="S3:S14" si="4">(R3-B3)*100</f>
        <v>-1.3623046875022027E-3</v>
      </c>
    </row>
    <row r="4" spans="1:19">
      <c r="A4">
        <v>-4</v>
      </c>
      <c r="B4">
        <v>0.63100000000000001</v>
      </c>
      <c r="C4" s="1">
        <v>0.63100000000000001</v>
      </c>
      <c r="D4" t="s">
        <v>5</v>
      </c>
      <c r="E4">
        <f t="shared" si="0"/>
        <v>20676.608</v>
      </c>
      <c r="F4">
        <v>20677</v>
      </c>
      <c r="H4">
        <v>946</v>
      </c>
      <c r="I4">
        <v>4096</v>
      </c>
      <c r="J4">
        <v>2584</v>
      </c>
      <c r="K4">
        <f t="shared" si="1"/>
        <v>0.630859375</v>
      </c>
      <c r="M4">
        <f t="shared" si="2"/>
        <v>-2.2286053882726677E-2</v>
      </c>
      <c r="O4">
        <v>946</v>
      </c>
      <c r="P4">
        <v>1048576</v>
      </c>
      <c r="Q4">
        <v>661664</v>
      </c>
      <c r="R4">
        <f t="shared" si="3"/>
        <v>0.631011962890625</v>
      </c>
      <c r="S4">
        <f t="shared" si="4"/>
        <v>1.1962890624994671E-3</v>
      </c>
    </row>
    <row r="5" spans="1:19">
      <c r="A5">
        <v>-3</v>
      </c>
      <c r="B5">
        <v>0.70789999999999997</v>
      </c>
      <c r="C5" s="1">
        <v>0.70789999999999997</v>
      </c>
      <c r="D5" t="s">
        <v>6</v>
      </c>
      <c r="E5">
        <f t="shared" si="0"/>
        <v>23196.467199999999</v>
      </c>
      <c r="F5">
        <v>23196</v>
      </c>
      <c r="H5">
        <v>1261</v>
      </c>
      <c r="I5">
        <v>4096</v>
      </c>
      <c r="J5">
        <v>2899</v>
      </c>
      <c r="K5">
        <f t="shared" si="1"/>
        <v>0.707763671875</v>
      </c>
      <c r="M5">
        <f t="shared" si="2"/>
        <v>-1.9258104958323734E-2</v>
      </c>
      <c r="O5">
        <v>1261</v>
      </c>
      <c r="P5">
        <v>1048576</v>
      </c>
      <c r="Q5">
        <v>742272</v>
      </c>
      <c r="R5">
        <f t="shared" si="3"/>
        <v>0.7078857421875</v>
      </c>
      <c r="S5">
        <f t="shared" si="4"/>
        <v>-1.425781249997371E-3</v>
      </c>
    </row>
    <row r="6" spans="1:19">
      <c r="A6">
        <v>-2</v>
      </c>
      <c r="B6">
        <v>0.79430000000000001</v>
      </c>
      <c r="C6" s="1">
        <v>0.79430000000000001</v>
      </c>
      <c r="D6" t="s">
        <v>7</v>
      </c>
      <c r="E6">
        <f t="shared" si="0"/>
        <v>26027.6224</v>
      </c>
      <c r="F6">
        <v>26028</v>
      </c>
      <c r="H6">
        <v>1576</v>
      </c>
      <c r="I6">
        <v>4096</v>
      </c>
      <c r="J6">
        <v>3253</v>
      </c>
      <c r="K6">
        <f t="shared" si="1"/>
        <v>0.794189453125</v>
      </c>
      <c r="M6">
        <f t="shared" si="2"/>
        <v>-1.3917521717236063E-2</v>
      </c>
      <c r="O6">
        <v>1576</v>
      </c>
      <c r="P6">
        <v>1048576</v>
      </c>
      <c r="Q6">
        <v>832896</v>
      </c>
      <c r="R6">
        <f t="shared" si="3"/>
        <v>0.7943115234375</v>
      </c>
      <c r="S6">
        <f t="shared" si="4"/>
        <v>1.152343749999396E-3</v>
      </c>
    </row>
    <row r="7" spans="1:19">
      <c r="A7">
        <v>-1</v>
      </c>
      <c r="B7">
        <v>0.89129999999999998</v>
      </c>
      <c r="C7" s="1">
        <v>0.89129999999999998</v>
      </c>
      <c r="D7" t="s">
        <v>8</v>
      </c>
      <c r="E7">
        <f t="shared" si="0"/>
        <v>29206.118399999999</v>
      </c>
      <c r="F7">
        <v>29206</v>
      </c>
      <c r="H7">
        <v>1891</v>
      </c>
      <c r="I7">
        <v>4096</v>
      </c>
      <c r="J7">
        <v>3634</v>
      </c>
      <c r="K7">
        <f t="shared" si="1"/>
        <v>0.88720703125</v>
      </c>
      <c r="M7">
        <f t="shared" si="2"/>
        <v>-0.45921336811398872</v>
      </c>
      <c r="O7">
        <v>1891</v>
      </c>
      <c r="P7">
        <v>1048576</v>
      </c>
      <c r="Q7">
        <v>930496</v>
      </c>
      <c r="R7">
        <f t="shared" si="3"/>
        <v>0.88739013671875</v>
      </c>
      <c r="S7">
        <f t="shared" si="4"/>
        <v>-0.39098632812499812</v>
      </c>
    </row>
    <row r="8" spans="1:19">
      <c r="A8">
        <v>0</v>
      </c>
      <c r="B8">
        <v>1</v>
      </c>
      <c r="C8" s="2">
        <v>1</v>
      </c>
      <c r="D8" s="2">
        <v>0</v>
      </c>
      <c r="E8">
        <f t="shared" si="0"/>
        <v>32768</v>
      </c>
      <c r="F8">
        <v>32768</v>
      </c>
      <c r="H8">
        <v>2206</v>
      </c>
      <c r="I8">
        <v>4096</v>
      </c>
      <c r="J8">
        <v>4096</v>
      </c>
      <c r="K8">
        <f t="shared" si="1"/>
        <v>1</v>
      </c>
      <c r="M8">
        <f t="shared" si="2"/>
        <v>0</v>
      </c>
      <c r="O8">
        <v>2206</v>
      </c>
      <c r="P8">
        <v>1048576</v>
      </c>
      <c r="Q8">
        <v>1048576</v>
      </c>
      <c r="R8">
        <f t="shared" si="3"/>
        <v>1</v>
      </c>
      <c r="S8">
        <f t="shared" si="4"/>
        <v>0</v>
      </c>
    </row>
    <row r="9" spans="1:19">
      <c r="A9">
        <v>1</v>
      </c>
      <c r="B9">
        <v>1.1220000000000001</v>
      </c>
      <c r="C9" s="1">
        <v>1.1220000000000001</v>
      </c>
      <c r="D9" t="s">
        <v>9</v>
      </c>
      <c r="E9">
        <f t="shared" ref="E9:E14" si="5">B9*32768</f>
        <v>36765.696000000004</v>
      </c>
      <c r="F9">
        <v>36766</v>
      </c>
      <c r="H9">
        <v>2521</v>
      </c>
      <c r="I9">
        <v>4096</v>
      </c>
      <c r="J9">
        <v>4603</v>
      </c>
      <c r="K9">
        <f t="shared" si="1"/>
        <v>1.123779296875</v>
      </c>
      <c r="M9">
        <f t="shared" si="2"/>
        <v>0.15858260918002598</v>
      </c>
      <c r="O9">
        <v>2521</v>
      </c>
      <c r="P9">
        <v>1048576</v>
      </c>
      <c r="Q9">
        <v>1178560</v>
      </c>
      <c r="R9">
        <f t="shared" si="3"/>
        <v>1.12396240234375</v>
      </c>
      <c r="S9">
        <f t="shared" si="4"/>
        <v>0.19624023437498916</v>
      </c>
    </row>
    <row r="10" spans="1:19">
      <c r="A10">
        <v>2</v>
      </c>
      <c r="B10">
        <v>1.2588999999999999</v>
      </c>
      <c r="C10" s="1">
        <v>1.2588999999999999</v>
      </c>
      <c r="D10" t="s">
        <v>10</v>
      </c>
      <c r="E10">
        <f t="shared" si="5"/>
        <v>41251.635199999997</v>
      </c>
      <c r="F10">
        <v>41252</v>
      </c>
      <c r="H10">
        <v>2836</v>
      </c>
      <c r="I10">
        <v>4096</v>
      </c>
      <c r="J10">
        <v>5156</v>
      </c>
      <c r="K10">
        <f t="shared" si="1"/>
        <v>1.2587890625</v>
      </c>
      <c r="M10">
        <f t="shared" si="2"/>
        <v>-8.8122567320603699E-3</v>
      </c>
      <c r="O10">
        <v>2836</v>
      </c>
      <c r="P10">
        <v>1048576</v>
      </c>
      <c r="Q10">
        <v>1320064</v>
      </c>
      <c r="R10">
        <f t="shared" si="3"/>
        <v>1.2589111328125</v>
      </c>
      <c r="S10">
        <f t="shared" si="4"/>
        <v>1.1132812500092015E-3</v>
      </c>
    </row>
    <row r="11" spans="1:19">
      <c r="A11">
        <v>3</v>
      </c>
      <c r="B11">
        <v>1.4125000000000001</v>
      </c>
      <c r="C11" s="1">
        <v>1.4125000000000001</v>
      </c>
      <c r="D11" t="s">
        <v>11</v>
      </c>
      <c r="E11">
        <f t="shared" si="5"/>
        <v>46284.800000000003</v>
      </c>
      <c r="F11">
        <v>46285</v>
      </c>
      <c r="H11">
        <v>3150</v>
      </c>
      <c r="I11">
        <v>4096</v>
      </c>
      <c r="J11">
        <v>5793</v>
      </c>
      <c r="K11">
        <f t="shared" si="1"/>
        <v>1.414306640625</v>
      </c>
      <c r="M11">
        <f t="shared" si="2"/>
        <v>0.1279037610619406</v>
      </c>
      <c r="O11">
        <v>3150</v>
      </c>
      <c r="P11">
        <v>1048576</v>
      </c>
      <c r="Q11">
        <v>1483168</v>
      </c>
      <c r="R11">
        <f t="shared" si="3"/>
        <v>1.414459228515625</v>
      </c>
      <c r="S11">
        <f t="shared" si="4"/>
        <v>0.19592285156249112</v>
      </c>
    </row>
    <row r="12" spans="1:19">
      <c r="A12">
        <v>4</v>
      </c>
      <c r="B12">
        <v>1.5849</v>
      </c>
      <c r="C12" s="1">
        <v>1.5849</v>
      </c>
      <c r="D12" t="s">
        <v>12</v>
      </c>
      <c r="E12">
        <f t="shared" si="5"/>
        <v>51934.003199999999</v>
      </c>
      <c r="F12">
        <v>51934</v>
      </c>
      <c r="H12">
        <v>3466</v>
      </c>
      <c r="I12">
        <v>4096</v>
      </c>
      <c r="J12">
        <v>6491</v>
      </c>
      <c r="K12">
        <f t="shared" si="1"/>
        <v>1.584716796875</v>
      </c>
      <c r="M12">
        <f t="shared" si="2"/>
        <v>-1.1559286074829674E-2</v>
      </c>
      <c r="O12">
        <v>3466</v>
      </c>
      <c r="P12">
        <v>1048576</v>
      </c>
      <c r="Q12">
        <v>1661888</v>
      </c>
      <c r="R12">
        <f t="shared" si="3"/>
        <v>1.58489990234375</v>
      </c>
      <c r="S12">
        <f t="shared" si="4"/>
        <v>-9.7656249975486276E-6</v>
      </c>
    </row>
    <row r="13" spans="1:19">
      <c r="A13">
        <v>5</v>
      </c>
      <c r="B13">
        <v>1.7783</v>
      </c>
      <c r="C13" s="1">
        <v>1.7783</v>
      </c>
      <c r="D13" t="s">
        <v>13</v>
      </c>
      <c r="E13">
        <f t="shared" si="5"/>
        <v>58271.3344</v>
      </c>
      <c r="F13">
        <v>58271</v>
      </c>
      <c r="H13">
        <v>3781</v>
      </c>
      <c r="I13">
        <v>4096</v>
      </c>
      <c r="J13">
        <v>7283</v>
      </c>
      <c r="K13">
        <f t="shared" si="1"/>
        <v>1.778076171875</v>
      </c>
      <c r="M13">
        <f t="shared" si="2"/>
        <v>-1.258663470730427E-2</v>
      </c>
      <c r="O13">
        <v>3781</v>
      </c>
      <c r="P13">
        <v>1048576</v>
      </c>
      <c r="Q13">
        <v>1864672</v>
      </c>
      <c r="R13">
        <f t="shared" si="3"/>
        <v>1.778289794921875</v>
      </c>
      <c r="S13">
        <f t="shared" si="4"/>
        <v>-1.0205078124991829E-3</v>
      </c>
    </row>
    <row r="14" spans="1:19">
      <c r="A14">
        <v>6</v>
      </c>
      <c r="B14">
        <v>1.9953000000000001</v>
      </c>
      <c r="C14" s="1">
        <v>1.9953000000000001</v>
      </c>
      <c r="D14" t="s">
        <v>14</v>
      </c>
      <c r="E14">
        <f t="shared" si="5"/>
        <v>65381.990400000002</v>
      </c>
      <c r="F14">
        <v>65382</v>
      </c>
      <c r="H14">
        <v>4095</v>
      </c>
      <c r="I14">
        <v>4096</v>
      </c>
      <c r="J14">
        <v>8172</v>
      </c>
      <c r="K14">
        <f t="shared" si="1"/>
        <v>1.9951171875</v>
      </c>
      <c r="M14">
        <f t="shared" si="2"/>
        <v>-9.1621560667605635E-3</v>
      </c>
      <c r="O14">
        <v>4095</v>
      </c>
      <c r="P14">
        <v>1048576</v>
      </c>
      <c r="Q14">
        <v>2092224</v>
      </c>
      <c r="R14">
        <f t="shared" si="3"/>
        <v>1.99530029296875</v>
      </c>
      <c r="S14">
        <f t="shared" si="4"/>
        <v>2.9296874992645883E-5</v>
      </c>
    </row>
    <row r="17" spans="3:17">
      <c r="C17" t="s">
        <v>30</v>
      </c>
      <c r="K17" t="s">
        <v>31</v>
      </c>
      <c r="Q17" t="s">
        <v>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ACB22-FE3C-4C68-B871-26C12037A2C8}">
  <dimension ref="A1:M22"/>
  <sheetViews>
    <sheetView tabSelected="1" workbookViewId="0">
      <selection activeCell="L18" sqref="L18"/>
    </sheetView>
  </sheetViews>
  <sheetFormatPr defaultRowHeight="14.4"/>
  <cols>
    <col min="1" max="1" width="5.88671875" bestFit="1" customWidth="1"/>
    <col min="2" max="2" width="12.6640625" bestFit="1" customWidth="1"/>
    <col min="3" max="3" width="13.33203125" bestFit="1" customWidth="1"/>
    <col min="4" max="4" width="11.5546875" bestFit="1" customWidth="1"/>
    <col min="5" max="5" width="6.21875" bestFit="1" customWidth="1"/>
    <col min="6" max="6" width="10.109375" bestFit="1" customWidth="1"/>
    <col min="7" max="7" width="4.21875" bestFit="1" customWidth="1"/>
    <col min="8" max="8" width="5.88671875" bestFit="1" customWidth="1"/>
    <col min="9" max="9" width="12.6640625" bestFit="1" customWidth="1"/>
    <col min="10" max="10" width="13.33203125" bestFit="1" customWidth="1"/>
    <col min="11" max="11" width="11.5546875" bestFit="1" customWidth="1"/>
    <col min="12" max="12" width="6.33203125" bestFit="1" customWidth="1"/>
    <col min="13" max="13" width="10.109375" bestFit="1" customWidth="1"/>
    <col min="15" max="15" width="5.88671875" bestFit="1" customWidth="1"/>
    <col min="16" max="16" width="12.6640625" bestFit="1" customWidth="1"/>
    <col min="17" max="17" width="13.33203125" bestFit="1" customWidth="1"/>
    <col min="18" max="18" width="11.5546875" bestFit="1" customWidth="1"/>
    <col min="19" max="19" width="4.109375" bestFit="1" customWidth="1"/>
    <col min="20" max="20" width="10.109375" bestFit="1" customWidth="1"/>
    <col min="22" max="22" width="5.88671875" bestFit="1" customWidth="1"/>
    <col min="23" max="23" width="7.5546875" bestFit="1" customWidth="1"/>
    <col min="24" max="24" width="13.33203125" bestFit="1" customWidth="1"/>
    <col min="25" max="25" width="11.5546875" bestFit="1" customWidth="1"/>
    <col min="26" max="26" width="4.109375" bestFit="1" customWidth="1"/>
    <col min="27" max="27" width="10.109375" bestFit="1" customWidth="1"/>
  </cols>
  <sheetData>
    <row r="1" spans="1:13">
      <c r="A1" t="s">
        <v>22</v>
      </c>
      <c r="B1" t="s">
        <v>23</v>
      </c>
      <c r="C1" t="s">
        <v>33</v>
      </c>
      <c r="D1" t="s">
        <v>25</v>
      </c>
      <c r="E1" t="s">
        <v>24</v>
      </c>
      <c r="F1" t="s">
        <v>35</v>
      </c>
      <c r="H1" t="s">
        <v>22</v>
      </c>
      <c r="I1" t="s">
        <v>23</v>
      </c>
      <c r="J1" t="s">
        <v>33</v>
      </c>
      <c r="K1" t="s">
        <v>25</v>
      </c>
      <c r="L1" t="s">
        <v>24</v>
      </c>
      <c r="M1" t="s">
        <v>35</v>
      </c>
    </row>
    <row r="2" spans="1:13">
      <c r="A2">
        <v>1</v>
      </c>
      <c r="B2">
        <v>3.0935400000000002E-4</v>
      </c>
      <c r="C2">
        <f>B2*65536</f>
        <v>20.273823744000001</v>
      </c>
      <c r="D2">
        <v>20</v>
      </c>
      <c r="E2">
        <v>14</v>
      </c>
      <c r="F2" t="s">
        <v>36</v>
      </c>
      <c r="H2">
        <v>1</v>
      </c>
      <c r="I2">
        <v>0.66663827521715202</v>
      </c>
      <c r="J2">
        <f t="shared" ref="J2:J7" si="0">I2*2^16</f>
        <v>43688.806004631275</v>
      </c>
      <c r="K2">
        <v>43689</v>
      </c>
      <c r="L2" t="s">
        <v>39</v>
      </c>
      <c r="M2" t="s">
        <v>36</v>
      </c>
    </row>
    <row r="3" spans="1:13">
      <c r="A3">
        <v>2</v>
      </c>
      <c r="B3">
        <v>6.1870800000000004E-4</v>
      </c>
      <c r="C3">
        <f t="shared" ref="C3:C7" si="1">B3*65536</f>
        <v>40.547647488000003</v>
      </c>
      <c r="D3">
        <v>40</v>
      </c>
      <c r="E3">
        <v>28</v>
      </c>
      <c r="F3" t="s">
        <v>36</v>
      </c>
      <c r="H3">
        <v>2</v>
      </c>
      <c r="I3">
        <v>-1.3332765504343</v>
      </c>
      <c r="J3">
        <f t="shared" si="0"/>
        <v>-87377.612009262288</v>
      </c>
      <c r="K3">
        <v>-87378</v>
      </c>
      <c r="L3" t="s">
        <v>42</v>
      </c>
      <c r="M3" t="s">
        <v>36</v>
      </c>
    </row>
    <row r="4" spans="1:13">
      <c r="A4">
        <v>3</v>
      </c>
      <c r="B4">
        <v>3.0935400000000002E-4</v>
      </c>
      <c r="C4">
        <f t="shared" si="1"/>
        <v>20.273823744000001</v>
      </c>
      <c r="D4">
        <v>20</v>
      </c>
      <c r="E4">
        <v>14</v>
      </c>
      <c r="F4" t="s">
        <v>36</v>
      </c>
      <c r="H4">
        <v>3</v>
      </c>
      <c r="I4">
        <v>0.66663827521715202</v>
      </c>
      <c r="J4">
        <f t="shared" si="0"/>
        <v>43688.806004631275</v>
      </c>
      <c r="K4">
        <v>43689</v>
      </c>
      <c r="L4" t="s">
        <v>39</v>
      </c>
      <c r="M4" t="s">
        <v>36</v>
      </c>
    </row>
    <row r="5" spans="1:13">
      <c r="A5">
        <v>4</v>
      </c>
      <c r="B5">
        <v>1</v>
      </c>
      <c r="C5">
        <f t="shared" si="1"/>
        <v>65536</v>
      </c>
      <c r="D5">
        <v>65536</v>
      </c>
      <c r="E5">
        <v>10000</v>
      </c>
      <c r="F5" t="s">
        <v>37</v>
      </c>
      <c r="H5">
        <v>4</v>
      </c>
      <c r="I5">
        <v>1</v>
      </c>
      <c r="J5">
        <f t="shared" si="0"/>
        <v>65536</v>
      </c>
      <c r="K5">
        <v>65536</v>
      </c>
      <c r="L5">
        <v>10000</v>
      </c>
      <c r="M5" t="s">
        <v>37</v>
      </c>
    </row>
    <row r="6" spans="1:13">
      <c r="A6">
        <v>5</v>
      </c>
      <c r="B6">
        <v>-1.9496374000000001</v>
      </c>
      <c r="C6">
        <f t="shared" si="1"/>
        <v>-127771.4366464</v>
      </c>
      <c r="D6">
        <v>-127771</v>
      </c>
      <c r="E6" t="s">
        <v>38</v>
      </c>
      <c r="F6" t="s">
        <v>37</v>
      </c>
      <c r="H6">
        <v>5</v>
      </c>
      <c r="I6">
        <v>-1.2188761083637001</v>
      </c>
      <c r="J6">
        <f t="shared" si="0"/>
        <v>-79880.264637723449</v>
      </c>
      <c r="K6">
        <v>-79880</v>
      </c>
      <c r="L6" t="s">
        <v>41</v>
      </c>
      <c r="M6" t="s">
        <v>37</v>
      </c>
    </row>
    <row r="7" spans="1:13">
      <c r="A7">
        <v>6</v>
      </c>
      <c r="B7">
        <v>0.95087489999999997</v>
      </c>
      <c r="C7">
        <f t="shared" si="1"/>
        <v>62316.537446399998</v>
      </c>
      <c r="D7">
        <v>62316</v>
      </c>
      <c r="E7" t="s">
        <v>34</v>
      </c>
      <c r="F7" t="s">
        <v>37</v>
      </c>
      <c r="H7">
        <v>6</v>
      </c>
      <c r="I7">
        <v>0.447676992504908</v>
      </c>
      <c r="J7">
        <f t="shared" si="0"/>
        <v>29338.959380801651</v>
      </c>
      <c r="K7">
        <v>29339</v>
      </c>
      <c r="L7" t="s">
        <v>40</v>
      </c>
      <c r="M7" t="s">
        <v>37</v>
      </c>
    </row>
    <row r="10" spans="1:13">
      <c r="D10" t="s">
        <v>43</v>
      </c>
      <c r="E10">
        <v>250</v>
      </c>
      <c r="K10" t="s">
        <v>44</v>
      </c>
      <c r="L10" t="s">
        <v>45</v>
      </c>
    </row>
    <row r="11" spans="1:13">
      <c r="G11" t="s">
        <v>46</v>
      </c>
    </row>
    <row r="13" spans="1:13">
      <c r="A13" t="s">
        <v>22</v>
      </c>
      <c r="B13" t="s">
        <v>23</v>
      </c>
      <c r="C13" t="s">
        <v>33</v>
      </c>
      <c r="D13" t="s">
        <v>25</v>
      </c>
      <c r="E13" t="s">
        <v>24</v>
      </c>
      <c r="F13" t="s">
        <v>35</v>
      </c>
      <c r="H13" t="s">
        <v>22</v>
      </c>
      <c r="I13" t="s">
        <v>23</v>
      </c>
      <c r="J13" t="s">
        <v>33</v>
      </c>
      <c r="K13" t="s">
        <v>25</v>
      </c>
      <c r="L13" t="s">
        <v>24</v>
      </c>
      <c r="M13" t="s">
        <v>35</v>
      </c>
    </row>
    <row r="14" spans="1:13">
      <c r="A14">
        <v>1</v>
      </c>
      <c r="B14">
        <v>0.97512784248657902</v>
      </c>
      <c r="C14">
        <f>B14*2^16</f>
        <v>63905.978285200443</v>
      </c>
      <c r="D14">
        <v>63906</v>
      </c>
      <c r="E14" s="3" t="s">
        <v>47</v>
      </c>
      <c r="F14" t="s">
        <v>36</v>
      </c>
      <c r="H14">
        <v>1</v>
      </c>
      <c r="I14">
        <v>5.7200221035302E-2</v>
      </c>
      <c r="J14">
        <f>I14*2^16</f>
        <v>3748.6736857695519</v>
      </c>
      <c r="K14">
        <v>3749</v>
      </c>
      <c r="L14" t="s">
        <v>49</v>
      </c>
      <c r="M14" t="s">
        <v>36</v>
      </c>
    </row>
    <row r="15" spans="1:13">
      <c r="A15">
        <v>2</v>
      </c>
      <c r="B15">
        <v>-1.95025568497315</v>
      </c>
      <c r="C15">
        <f t="shared" ref="C15:C19" si="2">B15*2^16</f>
        <v>-127811.95657040036</v>
      </c>
      <c r="D15">
        <v>-127812</v>
      </c>
      <c r="E15" s="3" t="s">
        <v>50</v>
      </c>
      <c r="F15" t="s">
        <v>36</v>
      </c>
      <c r="H15">
        <v>2</v>
      </c>
      <c r="I15">
        <v>0.114400442070604</v>
      </c>
      <c r="J15">
        <f t="shared" ref="J15:J19" si="3">I15*2^16</f>
        <v>7497.3473715391037</v>
      </c>
      <c r="K15">
        <v>7497</v>
      </c>
      <c r="L15" t="s">
        <v>48</v>
      </c>
      <c r="M15" t="s">
        <v>36</v>
      </c>
    </row>
    <row r="16" spans="1:13">
      <c r="A16">
        <v>3</v>
      </c>
      <c r="B16">
        <v>0.97512784248657902</v>
      </c>
      <c r="C16">
        <f t="shared" si="2"/>
        <v>63905.978285200443</v>
      </c>
      <c r="D16">
        <v>63906</v>
      </c>
      <c r="E16" s="3" t="s">
        <v>47</v>
      </c>
      <c r="F16" t="s">
        <v>36</v>
      </c>
      <c r="H16">
        <v>3</v>
      </c>
      <c r="I16">
        <v>5.7200221035302E-2</v>
      </c>
      <c r="J16">
        <f t="shared" si="3"/>
        <v>3748.6736857695519</v>
      </c>
      <c r="K16">
        <v>3749</v>
      </c>
      <c r="L16" t="s">
        <v>49</v>
      </c>
      <c r="M16" t="s">
        <v>36</v>
      </c>
    </row>
    <row r="17" spans="1:13">
      <c r="A17">
        <v>4</v>
      </c>
      <c r="B17">
        <v>1</v>
      </c>
      <c r="C17">
        <f t="shared" si="2"/>
        <v>65536</v>
      </c>
      <c r="D17">
        <v>65536</v>
      </c>
      <c r="E17" s="3">
        <v>10000</v>
      </c>
      <c r="F17" t="s">
        <v>37</v>
      </c>
      <c r="H17">
        <v>4</v>
      </c>
      <c r="I17">
        <v>1</v>
      </c>
      <c r="J17">
        <f t="shared" si="3"/>
        <v>65536</v>
      </c>
      <c r="K17">
        <v>65536</v>
      </c>
      <c r="L17">
        <v>10000</v>
      </c>
      <c r="M17" t="s">
        <v>37</v>
      </c>
    </row>
    <row r="18" spans="1:13">
      <c r="A18">
        <v>5</v>
      </c>
      <c r="B18">
        <v>-1.94963697662567</v>
      </c>
      <c r="C18">
        <f t="shared" si="2"/>
        <v>-127771.40890013991</v>
      </c>
      <c r="D18">
        <v>-127771</v>
      </c>
      <c r="E18" s="3" t="s">
        <v>38</v>
      </c>
      <c r="F18" t="s">
        <v>37</v>
      </c>
      <c r="H18">
        <v>5</v>
      </c>
      <c r="I18">
        <v>-1.2188761083637001</v>
      </c>
      <c r="J18">
        <f t="shared" si="3"/>
        <v>-79880.264637723449</v>
      </c>
      <c r="K18">
        <v>-79880</v>
      </c>
      <c r="L18" t="s">
        <v>41</v>
      </c>
      <c r="M18" t="s">
        <v>37</v>
      </c>
    </row>
    <row r="19" spans="1:13">
      <c r="A19">
        <v>6</v>
      </c>
      <c r="B19">
        <v>0.95087439332064105</v>
      </c>
      <c r="C19">
        <f t="shared" si="2"/>
        <v>62316.504240661532</v>
      </c>
      <c r="D19">
        <v>62316</v>
      </c>
      <c r="E19" s="3" t="s">
        <v>34</v>
      </c>
      <c r="F19" t="s">
        <v>37</v>
      </c>
      <c r="H19">
        <v>6</v>
      </c>
      <c r="I19">
        <v>0.447676992504908</v>
      </c>
      <c r="J19">
        <f t="shared" si="3"/>
        <v>29338.959380801651</v>
      </c>
      <c r="K19">
        <v>29339</v>
      </c>
      <c r="L19" t="s">
        <v>40</v>
      </c>
      <c r="M19" t="s">
        <v>37</v>
      </c>
    </row>
    <row r="22" spans="1:13">
      <c r="D22" t="s">
        <v>44</v>
      </c>
      <c r="E22">
        <v>250</v>
      </c>
      <c r="K22" t="s">
        <v>43</v>
      </c>
      <c r="L22" t="s">
        <v>45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Vol Control</vt:lpstr>
      <vt:lpstr>Filters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Kush Agrawal</dc:creator>
  <cp:lastModifiedBy>Kush Agrawal</cp:lastModifiedBy>
  <dcterms:created xsi:type="dcterms:W3CDTF">2026-08-20T15:29:40Z</dcterms:created>
  <dcterms:modified xsi:type="dcterms:W3CDTF">2026-10-14T19:35:22Z</dcterms:modified>
</cp:coreProperties>
</file>