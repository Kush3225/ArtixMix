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SH\ArtixMix\"/>
    </mc:Choice>
  </mc:AlternateContent>
  <xr:revisionPtr revIDLastSave="0" documentId="13_ncr:1_{9F2736C2-1628-4AA6-955E-DDDDDBCF0D43}" xr6:coauthVersionLast="47" xr6:coauthVersionMax="47" xr10:uidLastSave="{00000000-0000-0000-0000-000000000000}"/>
  <bookViews>
    <workbookView xWindow="-108" yWindow="-108" windowWidth="23256" windowHeight="12456" xr2:uid="{162F6800-650B-40DC-87AA-5313FF53AB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2" i="1"/>
  <c r="E8" i="1"/>
  <c r="E3" i="1"/>
  <c r="E4" i="1"/>
  <c r="E5" i="1"/>
  <c r="E6" i="1"/>
  <c r="E7" i="1"/>
  <c r="E9" i="1"/>
  <c r="E10" i="1"/>
  <c r="E11" i="1"/>
  <c r="E12" i="1"/>
  <c r="E13" i="1"/>
  <c r="E14" i="1"/>
  <c r="E2" i="1"/>
</calcChain>
</file>

<file path=xl/sharedStrings.xml><?xml version="1.0" encoding="utf-8"?>
<sst xmlns="http://schemas.openxmlformats.org/spreadsheetml/2006/main" count="22" uniqueCount="21">
  <si>
    <t>Amplitude Ratio</t>
  </si>
  <si>
    <t>% of original</t>
  </si>
  <si>
    <t>% change</t>
  </si>
  <si>
    <t>-49.88% loss</t>
  </si>
  <si>
    <t>-43.77% loss</t>
  </si>
  <si>
    <t>-36.90% loss</t>
  </si>
  <si>
    <t>-29.21% loss</t>
  </si>
  <si>
    <t>-20.57% loss</t>
  </si>
  <si>
    <t>-10.87% loss</t>
  </si>
  <si>
    <t>+12.20% gain</t>
  </si>
  <si>
    <t>+25.89% gain</t>
  </si>
  <si>
    <t>+41.25% gain</t>
  </si>
  <si>
    <t>+58.49% gain</t>
  </si>
  <si>
    <t>+77.83% gain</t>
  </si>
  <si>
    <t>+99.53% gain</t>
  </si>
  <si>
    <t>Gain in db</t>
  </si>
  <si>
    <t>Amp ratio x 2^15</t>
  </si>
  <si>
    <t>Rounded off</t>
  </si>
  <si>
    <t>ADC</t>
  </si>
  <si>
    <t>SDC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</si>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</sst>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40A05-FE0D-4691-B386-01EF647E2A68}">
  <dimension ref="A1:K17"/>
  <sheetViews>
    <sheetView tabSelected="1" workbookViewId="0">
      <selection activeCell="K13" sqref="K13"/>
    </sheetView>
  </sheetViews>
  <sheetFormatPr defaultRowHeight="14.4" x14ac:dyDescent="0.3"/>
  <cols>
    <col min="1" max="1" width="8.88671875" bestFit="1" customWidth="1"/>
    <col min="2" max="2" width="13.6640625" bestFit="1" customWidth="1"/>
    <col min="3" max="3" width="10.6640625" bestFit="1" customWidth="1"/>
    <col min="4" max="4" width="11.77734375" bestFit="1" customWidth="1"/>
    <col min="5" max="5" width="14.21875" bestFit="1" customWidth="1"/>
    <col min="6" max="6" width="10.5546875" bestFit="1" customWidth="1"/>
    <col min="8" max="9" width="5" bestFit="1" customWidth="1"/>
    <col min="10" max="10" width="6.44140625" bestFit="1" customWidth="1"/>
    <col min="11" max="11" width="13.6640625" bestFit="1" customWidth="1"/>
  </cols>
  <sheetData>
    <row r="1" spans="1:11" x14ac:dyDescent="0.3">
      <c r="A1" t="s">
        <v>15</v>
      </c>
      <c r="B1" t="s">
        <v>0</v>
      </c>
      <c r="C1" t="s">
        <v>1</v>
      </c>
      <c r="D1" t="s">
        <v>2</v>
      </c>
      <c r="E1" t="s">
        <v>16</v>
      </c>
      <c r="F1" t="s">
        <v>17</v>
      </c>
      <c r="H1" t="s">
        <v>18</v>
      </c>
      <c r="I1" t="s">
        <v>19</v>
      </c>
      <c r="J1" t="s">
        <v>20</v>
      </c>
      <c r="K1" t="s">
        <v>0</v>
      </c>
    </row>
    <row r="2" spans="1:11" x14ac:dyDescent="0.3">
      <c r="A2">
        <v>-6</v>
      </c>
      <c r="B2">
        <v>0.50119999999999998</v>
      </c>
      <c r="C2" s="1">
        <v>0.50119999999999998</v>
      </c>
      <c r="D2" t="s">
        <v>3</v>
      </c>
      <c r="E2">
        <f>B2*32768</f>
        <v>16423.321599999999</v>
      </c>
      <c r="F2">
        <v>16423</v>
      </c>
      <c r="H2">
        <v>316</v>
      </c>
      <c r="I2">
        <v>4096</v>
      </c>
      <c r="J2">
        <v>2052</v>
      </c>
      <c r="K2">
        <f>J2/I2</f>
        <v>0.5009765625</v>
      </c>
    </row>
    <row r="3" spans="1:11" x14ac:dyDescent="0.3">
      <c r="A3">
        <v>-5</v>
      </c>
      <c r="B3">
        <v>0.56230000000000002</v>
      </c>
      <c r="C3" s="1">
        <v>0.56230000000000002</v>
      </c>
      <c r="D3" t="s">
        <v>4</v>
      </c>
      <c r="E3">
        <f t="shared" ref="E3:E8" si="0">B3*32768</f>
        <v>18425.446400000001</v>
      </c>
      <c r="F3">
        <v>18425</v>
      </c>
      <c r="H3">
        <v>631</v>
      </c>
      <c r="I3">
        <v>4096</v>
      </c>
      <c r="J3">
        <v>2303</v>
      </c>
      <c r="K3">
        <f t="shared" ref="K3:K17" si="1">J3/I3</f>
        <v>0.562255859375</v>
      </c>
    </row>
    <row r="4" spans="1:11" x14ac:dyDescent="0.3">
      <c r="A4">
        <v>-4</v>
      </c>
      <c r="B4">
        <v>0.63100000000000001</v>
      </c>
      <c r="C4" s="1">
        <v>0.63100000000000001</v>
      </c>
      <c r="D4" t="s">
        <v>5</v>
      </c>
      <c r="E4">
        <f t="shared" si="0"/>
        <v>20676.608</v>
      </c>
      <c r="F4">
        <v>20677</v>
      </c>
      <c r="H4">
        <v>946</v>
      </c>
      <c r="I4">
        <v>4096</v>
      </c>
      <c r="J4">
        <v>2584</v>
      </c>
      <c r="K4">
        <f t="shared" si="1"/>
        <v>0.630859375</v>
      </c>
    </row>
    <row r="5" spans="1:11" x14ac:dyDescent="0.3">
      <c r="A5">
        <v>-3</v>
      </c>
      <c r="B5">
        <v>0.70789999999999997</v>
      </c>
      <c r="C5" s="1">
        <v>0.70789999999999997</v>
      </c>
      <c r="D5" t="s">
        <v>6</v>
      </c>
      <c r="E5">
        <f t="shared" si="0"/>
        <v>23196.467199999999</v>
      </c>
      <c r="F5">
        <v>23196</v>
      </c>
      <c r="H5">
        <v>1261</v>
      </c>
      <c r="I5">
        <v>4096</v>
      </c>
      <c r="J5">
        <v>2899</v>
      </c>
      <c r="K5">
        <f t="shared" si="1"/>
        <v>0.707763671875</v>
      </c>
    </row>
    <row r="6" spans="1:11" x14ac:dyDescent="0.3">
      <c r="A6">
        <v>-2</v>
      </c>
      <c r="B6">
        <v>0.79430000000000001</v>
      </c>
      <c r="C6" s="1">
        <v>0.79430000000000001</v>
      </c>
      <c r="D6" t="s">
        <v>7</v>
      </c>
      <c r="E6">
        <f t="shared" si="0"/>
        <v>26027.6224</v>
      </c>
      <c r="F6">
        <v>26028</v>
      </c>
      <c r="H6">
        <v>1576</v>
      </c>
      <c r="I6">
        <v>4096</v>
      </c>
      <c r="J6">
        <v>2899</v>
      </c>
      <c r="K6">
        <f t="shared" si="1"/>
        <v>0.707763671875</v>
      </c>
    </row>
    <row r="7" spans="1:11" x14ac:dyDescent="0.3">
      <c r="A7">
        <v>-1</v>
      </c>
      <c r="B7">
        <v>0.89129999999999998</v>
      </c>
      <c r="C7" s="1">
        <v>0.89129999999999998</v>
      </c>
      <c r="D7" t="s">
        <v>8</v>
      </c>
      <c r="E7">
        <f t="shared" si="0"/>
        <v>29206.118399999999</v>
      </c>
      <c r="F7">
        <v>29206</v>
      </c>
      <c r="H7">
        <v>1576</v>
      </c>
      <c r="I7">
        <v>4096</v>
      </c>
      <c r="J7">
        <v>3253</v>
      </c>
      <c r="K7">
        <f t="shared" si="1"/>
        <v>0.794189453125</v>
      </c>
    </row>
    <row r="8" spans="1:11" x14ac:dyDescent="0.3">
      <c r="A8">
        <v>0</v>
      </c>
      <c r="B8">
        <v>1</v>
      </c>
      <c r="C8" s="2">
        <v>1</v>
      </c>
      <c r="D8" s="2">
        <v>0</v>
      </c>
      <c r="E8">
        <f t="shared" si="0"/>
        <v>32768</v>
      </c>
      <c r="F8">
        <v>32768</v>
      </c>
      <c r="H8">
        <v>1891</v>
      </c>
      <c r="I8">
        <v>4096</v>
      </c>
      <c r="J8">
        <v>3634</v>
      </c>
      <c r="K8">
        <f t="shared" si="1"/>
        <v>0.88720703125</v>
      </c>
    </row>
    <row r="9" spans="1:11" x14ac:dyDescent="0.3">
      <c r="A9">
        <v>1</v>
      </c>
      <c r="B9">
        <v>1.1220000000000001</v>
      </c>
      <c r="C9" s="1">
        <v>1.1220000000000001</v>
      </c>
      <c r="D9" t="s">
        <v>9</v>
      </c>
      <c r="E9">
        <f t="shared" ref="E9:E14" si="2">B9*32768</f>
        <v>36765.696000000004</v>
      </c>
      <c r="F9">
        <v>36766</v>
      </c>
      <c r="H9">
        <v>2206</v>
      </c>
      <c r="I9">
        <v>4096</v>
      </c>
      <c r="J9">
        <v>4096</v>
      </c>
      <c r="K9">
        <f t="shared" si="1"/>
        <v>1</v>
      </c>
    </row>
    <row r="10" spans="1:11" x14ac:dyDescent="0.3">
      <c r="A10">
        <v>2</v>
      </c>
      <c r="B10">
        <v>1.2588999999999999</v>
      </c>
      <c r="C10" s="1">
        <v>1.2588999999999999</v>
      </c>
      <c r="D10" t="s">
        <v>10</v>
      </c>
      <c r="E10">
        <f t="shared" si="2"/>
        <v>41251.635199999997</v>
      </c>
      <c r="F10">
        <v>41252</v>
      </c>
      <c r="H10">
        <v>2521</v>
      </c>
      <c r="I10">
        <v>4096</v>
      </c>
      <c r="J10">
        <v>4603</v>
      </c>
      <c r="K10">
        <f t="shared" si="1"/>
        <v>1.123779296875</v>
      </c>
    </row>
    <row r="11" spans="1:11" x14ac:dyDescent="0.3">
      <c r="A11">
        <v>3</v>
      </c>
      <c r="B11">
        <v>1.4125000000000001</v>
      </c>
      <c r="C11" s="1">
        <v>1.4125000000000001</v>
      </c>
      <c r="D11" t="s">
        <v>11</v>
      </c>
      <c r="E11">
        <f t="shared" si="2"/>
        <v>46284.800000000003</v>
      </c>
      <c r="F11">
        <v>46285</v>
      </c>
      <c r="H11">
        <v>2836</v>
      </c>
      <c r="I11">
        <v>4096</v>
      </c>
      <c r="J11">
        <v>4603</v>
      </c>
      <c r="K11">
        <f t="shared" si="1"/>
        <v>1.123779296875</v>
      </c>
    </row>
    <row r="12" spans="1:11" x14ac:dyDescent="0.3">
      <c r="A12">
        <v>4</v>
      </c>
      <c r="B12">
        <v>1.5849</v>
      </c>
      <c r="C12" s="1">
        <v>1.5849</v>
      </c>
      <c r="D12" t="s">
        <v>12</v>
      </c>
      <c r="E12">
        <f t="shared" si="2"/>
        <v>51934.003199999999</v>
      </c>
      <c r="F12">
        <v>51934</v>
      </c>
      <c r="H12">
        <v>2836</v>
      </c>
      <c r="I12">
        <v>4096</v>
      </c>
      <c r="J12">
        <v>5156</v>
      </c>
      <c r="K12">
        <f t="shared" si="1"/>
        <v>1.2587890625</v>
      </c>
    </row>
    <row r="13" spans="1:11" x14ac:dyDescent="0.3">
      <c r="A13">
        <v>5</v>
      </c>
      <c r="B13">
        <v>1.7783</v>
      </c>
      <c r="C13" s="1">
        <v>1.7783</v>
      </c>
      <c r="D13" t="s">
        <v>13</v>
      </c>
      <c r="E13">
        <f t="shared" si="2"/>
        <v>58271.3344</v>
      </c>
      <c r="F13">
        <v>58271</v>
      </c>
      <c r="H13">
        <v>3150</v>
      </c>
      <c r="I13">
        <v>4096</v>
      </c>
      <c r="J13">
        <v>5793</v>
      </c>
      <c r="K13">
        <f t="shared" si="1"/>
        <v>1.414306640625</v>
      </c>
    </row>
    <row r="14" spans="1:11" x14ac:dyDescent="0.3">
      <c r="A14">
        <v>6</v>
      </c>
      <c r="B14">
        <v>1.9953000000000001</v>
      </c>
      <c r="C14" s="1">
        <v>1.9953000000000001</v>
      </c>
      <c r="D14" t="s">
        <v>14</v>
      </c>
      <c r="E14">
        <f t="shared" si="2"/>
        <v>65381.990400000002</v>
      </c>
      <c r="F14">
        <v>65382</v>
      </c>
      <c r="H14">
        <v>3466</v>
      </c>
      <c r="I14">
        <v>4096</v>
      </c>
      <c r="J14">
        <v>6491</v>
      </c>
      <c r="K14">
        <f t="shared" si="1"/>
        <v>1.584716796875</v>
      </c>
    </row>
    <row r="15" spans="1:11" x14ac:dyDescent="0.3">
      <c r="H15">
        <v>3781</v>
      </c>
      <c r="I15">
        <v>4096</v>
      </c>
      <c r="J15">
        <v>7283</v>
      </c>
      <c r="K15">
        <f t="shared" si="1"/>
        <v>1.778076171875</v>
      </c>
    </row>
    <row r="16" spans="1:11" x14ac:dyDescent="0.3">
      <c r="H16">
        <v>4095</v>
      </c>
      <c r="I16">
        <v>4096</v>
      </c>
      <c r="J16">
        <v>7283</v>
      </c>
      <c r="K16">
        <f t="shared" si="1"/>
        <v>1.778076171875</v>
      </c>
    </row>
    <row r="17" spans="8:11" x14ac:dyDescent="0.3">
      <c r="H17">
        <v>4095</v>
      </c>
      <c r="I17">
        <v>4096</v>
      </c>
      <c r="J17">
        <v>8172</v>
      </c>
      <c r="K17">
        <f t="shared" si="1"/>
        <v>1.9951171875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Kush Agrawal</dc:creator>
  <cp:lastModifiedBy>Kush Agrawal</cp:lastModifiedBy>
  <dcterms:created xsi:type="dcterms:W3CDTF">2026-08-20T15:29:40Z</dcterms:created>
  <dcterms:modified xsi:type="dcterms:W3CDTF">2026-08-20T18:51:50Z</dcterms:modified>
</cp:coreProperties>
</file>