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\ArtixMix\"/>
    </mc:Choice>
  </mc:AlternateContent>
  <xr:revisionPtr revIDLastSave="0" documentId="13_ncr:1_{A22A4C5B-FF84-4F79-A093-71F707ACBD2A}" xr6:coauthVersionLast="47" xr6:coauthVersionMax="47" xr10:uidLastSave="{00000000-0000-0000-0000-000000000000}"/>
  <bookViews>
    <workbookView xWindow="-108" yWindow="-108" windowWidth="23256" windowHeight="12456" activeTab="3" xr2:uid="{162F6800-650B-40DC-87AA-5313FF53ABEB}"/>
  </bookViews>
  <sheets>
    <sheet name="Trimmer" sheetId="3" r:id="rId1"/>
    <sheet name="Filters" sheetId="2" r:id="rId2"/>
    <sheet name="Original Vol Control" sheetId="1" r:id="rId3"/>
    <sheet name="EQ Am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4" l="1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F17" i="4"/>
  <c r="F16" i="4"/>
  <c r="F15" i="4"/>
  <c r="F14" i="4"/>
  <c r="F13" i="4"/>
  <c r="F12" i="4"/>
  <c r="F11" i="4"/>
  <c r="F10" i="4"/>
  <c r="G10" i="4" s="1"/>
  <c r="F9" i="4"/>
  <c r="F8" i="4"/>
  <c r="F7" i="4"/>
  <c r="F6" i="4"/>
  <c r="F5" i="4"/>
  <c r="F4" i="4"/>
  <c r="F3" i="4"/>
  <c r="D10" i="4"/>
  <c r="E10" i="4" s="1"/>
  <c r="D8" i="4"/>
  <c r="E8" i="4" s="1"/>
  <c r="D5" i="4"/>
  <c r="E5" i="4" s="1"/>
  <c r="D4" i="4"/>
  <c r="E4" i="4" s="1"/>
  <c r="C17" i="4"/>
  <c r="G17" i="4" s="1"/>
  <c r="C16" i="4"/>
  <c r="G16" i="4" s="1"/>
  <c r="C15" i="4"/>
  <c r="G15" i="4" s="1"/>
  <c r="C14" i="4"/>
  <c r="G14" i="4" s="1"/>
  <c r="C13" i="4"/>
  <c r="G13" i="4" s="1"/>
  <c r="C12" i="4"/>
  <c r="G12" i="4" s="1"/>
  <c r="C11" i="4"/>
  <c r="G11" i="4" s="1"/>
  <c r="C9" i="4"/>
  <c r="G9" i="4" s="1"/>
  <c r="C8" i="4"/>
  <c r="G8" i="4" s="1"/>
  <c r="C7" i="4"/>
  <c r="G7" i="4" s="1"/>
  <c r="C6" i="4"/>
  <c r="G6" i="4" s="1"/>
  <c r="C5" i="4"/>
  <c r="G5" i="4" s="1"/>
  <c r="C4" i="4"/>
  <c r="G4" i="4" s="1"/>
  <c r="C3" i="4"/>
  <c r="D3" i="4" s="1"/>
  <c r="E3" i="4" s="1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M3" i="3"/>
  <c r="M4" i="3"/>
  <c r="M5" i="3"/>
  <c r="M6" i="3"/>
  <c r="M7" i="3"/>
  <c r="M8" i="3"/>
  <c r="M9" i="3"/>
  <c r="M10" i="3"/>
  <c r="O10" i="3" s="1"/>
  <c r="M11" i="3"/>
  <c r="M12" i="3"/>
  <c r="M13" i="3"/>
  <c r="O13" i="3" s="1"/>
  <c r="M14" i="3"/>
  <c r="O14" i="3" s="1"/>
  <c r="M15" i="3"/>
  <c r="M16" i="3"/>
  <c r="O16" i="3" s="1"/>
  <c r="M17" i="3"/>
  <c r="C16" i="3"/>
  <c r="D16" i="3" s="1"/>
  <c r="E16" i="3" s="1"/>
  <c r="D9" i="3"/>
  <c r="E9" i="3" s="1"/>
  <c r="D11" i="3"/>
  <c r="E11" i="3" s="1"/>
  <c r="D12" i="3"/>
  <c r="E12" i="3" s="1"/>
  <c r="D13" i="3"/>
  <c r="E13" i="3" s="1"/>
  <c r="C2" i="3"/>
  <c r="F2" i="3" s="1"/>
  <c r="G2" i="3" s="1"/>
  <c r="C3" i="3"/>
  <c r="C4" i="3"/>
  <c r="F4" i="3" s="1"/>
  <c r="G4" i="3" s="1"/>
  <c r="C5" i="3"/>
  <c r="F5" i="3" s="1"/>
  <c r="G5" i="3" s="1"/>
  <c r="C6" i="3"/>
  <c r="D6" i="3" s="1"/>
  <c r="E6" i="3" s="1"/>
  <c r="C7" i="3"/>
  <c r="F7" i="3" s="1"/>
  <c r="G7" i="3" s="1"/>
  <c r="C8" i="3"/>
  <c r="F8" i="3" s="1"/>
  <c r="G8" i="3" s="1"/>
  <c r="C9" i="3"/>
  <c r="C10" i="3"/>
  <c r="D10" i="3" s="1"/>
  <c r="E10" i="3" s="1"/>
  <c r="C11" i="3"/>
  <c r="F11" i="3" s="1"/>
  <c r="G11" i="3" s="1"/>
  <c r="C12" i="3"/>
  <c r="F12" i="3" s="1"/>
  <c r="G12" i="3" s="1"/>
  <c r="C13" i="3"/>
  <c r="F13" i="3" s="1"/>
  <c r="G13" i="3" s="1"/>
  <c r="C14" i="3"/>
  <c r="F14" i="3" s="1"/>
  <c r="G14" i="3" s="1"/>
  <c r="C15" i="3"/>
  <c r="F15" i="3" s="1"/>
  <c r="G15" i="3" s="1"/>
  <c r="C18" i="2"/>
  <c r="J19" i="2"/>
  <c r="J18" i="2"/>
  <c r="J17" i="2"/>
  <c r="J16" i="2"/>
  <c r="J15" i="2"/>
  <c r="J14" i="2"/>
  <c r="C15" i="2"/>
  <c r="C16" i="2"/>
  <c r="C17" i="2"/>
  <c r="C19" i="2"/>
  <c r="C14" i="2"/>
  <c r="J2" i="2"/>
  <c r="J3" i="2"/>
  <c r="J4" i="2"/>
  <c r="J5" i="2"/>
  <c r="J6" i="2"/>
  <c r="J7" i="2"/>
  <c r="C3" i="2"/>
  <c r="C4" i="2"/>
  <c r="C5" i="2"/>
  <c r="C6" i="2"/>
  <c r="C7" i="2"/>
  <c r="C2" i="2"/>
  <c r="S3" i="1"/>
  <c r="S4" i="1"/>
  <c r="S5" i="1"/>
  <c r="S6" i="1"/>
  <c r="S7" i="1"/>
  <c r="S8" i="1"/>
  <c r="S9" i="1"/>
  <c r="S10" i="1"/>
  <c r="S11" i="1"/>
  <c r="S12" i="1"/>
  <c r="S13" i="1"/>
  <c r="S1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2" i="1"/>
  <c r="E8" i="1"/>
  <c r="E3" i="1"/>
  <c r="E4" i="1"/>
  <c r="E5" i="1"/>
  <c r="E6" i="1"/>
  <c r="E7" i="1"/>
  <c r="E9" i="1"/>
  <c r="E10" i="1"/>
  <c r="E11" i="1"/>
  <c r="E12" i="1"/>
  <c r="E13" i="1"/>
  <c r="E14" i="1"/>
  <c r="E2" i="1"/>
  <c r="D6" i="4" l="1"/>
  <c r="E6" i="4" s="1"/>
  <c r="D9" i="4"/>
  <c r="E9" i="4" s="1"/>
  <c r="D11" i="4"/>
  <c r="E11" i="4" s="1"/>
  <c r="D14" i="4"/>
  <c r="E14" i="4" s="1"/>
  <c r="D12" i="4"/>
  <c r="E12" i="4" s="1"/>
  <c r="D13" i="4"/>
  <c r="E13" i="4" s="1"/>
  <c r="D16" i="4"/>
  <c r="E16" i="4" s="1"/>
  <c r="G3" i="4"/>
  <c r="D7" i="4"/>
  <c r="E7" i="4" s="1"/>
  <c r="D15" i="4"/>
  <c r="E15" i="4" s="1"/>
  <c r="D17" i="4"/>
  <c r="E17" i="4" s="1"/>
  <c r="O12" i="3"/>
  <c r="O9" i="3"/>
  <c r="O6" i="3"/>
  <c r="O5" i="3"/>
  <c r="D7" i="3"/>
  <c r="E7" i="3" s="1"/>
  <c r="O2" i="3"/>
  <c r="D8" i="3"/>
  <c r="E8" i="3" s="1"/>
  <c r="O8" i="3"/>
  <c r="O15" i="3"/>
  <c r="O7" i="3"/>
  <c r="O4" i="3"/>
  <c r="O3" i="3"/>
  <c r="O11" i="3"/>
  <c r="F16" i="3"/>
  <c r="G16" i="3" s="1"/>
  <c r="D14" i="3"/>
  <c r="E14" i="3" s="1"/>
  <c r="F9" i="3"/>
  <c r="G9" i="3" s="1"/>
  <c r="D15" i="3"/>
  <c r="E15" i="3" s="1"/>
  <c r="D2" i="3"/>
  <c r="E2" i="3" s="1"/>
  <c r="F3" i="3"/>
  <c r="G3" i="3" s="1"/>
  <c r="D3" i="3"/>
  <c r="E3" i="3" s="1"/>
  <c r="D5" i="3"/>
  <c r="E5" i="3" s="1"/>
  <c r="F10" i="3"/>
  <c r="G10" i="3" s="1"/>
  <c r="D4" i="3"/>
  <c r="E4" i="3" s="1"/>
  <c r="F6" i="3"/>
  <c r="G6" i="3" s="1"/>
</calcChain>
</file>

<file path=xl/sharedStrings.xml><?xml version="1.0" encoding="utf-8"?>
<sst xmlns="http://schemas.openxmlformats.org/spreadsheetml/2006/main" count="157" uniqueCount="82">
  <si>
    <t>Amplitude Ratio</t>
  </si>
  <si>
    <t>% of original</t>
  </si>
  <si>
    <t>% change</t>
  </si>
  <si>
    <t>-49.88% loss</t>
  </si>
  <si>
    <t>-43.77% loss</t>
  </si>
  <si>
    <t>-36.90% loss</t>
  </si>
  <si>
    <t>-29.21% loss</t>
  </si>
  <si>
    <t>-20.57% loss</t>
  </si>
  <si>
    <t>-10.87% loss</t>
  </si>
  <si>
    <t>+12.20% gain</t>
  </si>
  <si>
    <t>+25.89% gain</t>
  </si>
  <si>
    <t>+41.25% gain</t>
  </si>
  <si>
    <t>+58.49% gain</t>
  </si>
  <si>
    <t>+77.83% gain</t>
  </si>
  <si>
    <t>+99.53% gain</t>
  </si>
  <si>
    <t>Gain in db</t>
  </si>
  <si>
    <t>Amp ratio x 2^15</t>
  </si>
  <si>
    <t>Rounded off</t>
  </si>
  <si>
    <t>ADC</t>
  </si>
  <si>
    <t>SDC</t>
  </si>
  <si>
    <t>Output</t>
  </si>
  <si>
    <t xml:space="preserve">Error </t>
  </si>
  <si>
    <t>Sr. No</t>
  </si>
  <si>
    <t>Number</t>
  </si>
  <si>
    <t>Hex</t>
  </si>
  <si>
    <t>Roubnded off</t>
  </si>
  <si>
    <t>Amp Ratio</t>
  </si>
  <si>
    <t>Error</t>
  </si>
  <si>
    <t>Input from ADC</t>
  </si>
  <si>
    <t>Input from SDC</t>
  </si>
  <si>
    <t>Theory</t>
  </si>
  <si>
    <t>16 Bit</t>
  </si>
  <si>
    <t>24 Bit</t>
  </si>
  <si>
    <t>Number * 2^16</t>
  </si>
  <si>
    <t>0F36C</t>
  </si>
  <si>
    <t>Co efficient</t>
  </si>
  <si>
    <t>Zero</t>
  </si>
  <si>
    <t>Pole</t>
  </si>
  <si>
    <t>20CE5</t>
  </si>
  <si>
    <t>0AAA9</t>
  </si>
  <si>
    <t>0729B</t>
  </si>
  <si>
    <t>2C7F8</t>
  </si>
  <si>
    <t>2AAAE</t>
  </si>
  <si>
    <t>LPF</t>
  </si>
  <si>
    <t>HPF</t>
  </si>
  <si>
    <t>4K</t>
  </si>
  <si>
    <t>BPF</t>
  </si>
  <si>
    <t>0F9A2</t>
  </si>
  <si>
    <t>01D49</t>
  </si>
  <si>
    <t>00EA5</t>
  </si>
  <si>
    <t>20CBC</t>
  </si>
  <si>
    <t>Sr. No.</t>
  </si>
  <si>
    <t>Amp ratio x 2^17</t>
  </si>
  <si>
    <t>0CBE5</t>
  </si>
  <si>
    <t>080DC</t>
  </si>
  <si>
    <t>0204E</t>
  </si>
  <si>
    <t>00CDC</t>
  </si>
  <si>
    <t>0081D</t>
  </si>
  <si>
    <t>0051F</t>
  </si>
  <si>
    <t>0033B</t>
  </si>
  <si>
    <t>0020A</t>
  </si>
  <si>
    <t>000D0</t>
  </si>
  <si>
    <t>1430D</t>
  </si>
  <si>
    <t>Null</t>
  </si>
  <si>
    <t>% Error</t>
  </si>
  <si>
    <t>Zero Vol</t>
  </si>
  <si>
    <t>Round off</t>
  </si>
  <si>
    <t>Coefficient</t>
  </si>
  <si>
    <t>1009C</t>
  </si>
  <si>
    <t>16A78</t>
  </si>
  <si>
    <t>196B2</t>
  </si>
  <si>
    <t>1C852</t>
  </si>
  <si>
    <t>2D338</t>
  </si>
  <si>
    <t>32B77</t>
  </si>
  <si>
    <t>38E7B</t>
  </si>
  <si>
    <t>3FD93</t>
  </si>
  <si>
    <t>11FEB</t>
  </si>
  <si>
    <t>23E79</t>
  </si>
  <si>
    <t>0</t>
  </si>
  <si>
    <t>Amp Ratio x 2 ^ 16</t>
  </si>
  <si>
    <t>Input from EQ</t>
  </si>
  <si>
    <t>%Error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</si>
</sst>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/>
    </xf>
    <xf numFmtId="49" fontId="0" fillId="0" borderId="0" xfId="0" applyNumberFormat="1"/>
    <xf numFmtId="0" fontId="2" fillId="0" borderId="0" xfId="0" applyFont="1"/>
    <xf numFmtId="1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61A6-E8A3-490F-B64F-4B6EB88B3694}">
  <dimension ref="A1:O17"/>
  <sheetViews>
    <sheetView workbookViewId="0">
      <selection activeCell="C2" sqref="C2"/>
    </sheetView>
  </sheetViews>
  <sheetFormatPr defaultRowHeight="14.4"/>
  <cols>
    <col min="1" max="1" width="6.44140625" bestFit="1" customWidth="1"/>
    <col min="3" max="3" width="13.6640625" bestFit="1" customWidth="1"/>
    <col min="4" max="5" width="12" bestFit="1" customWidth="1"/>
    <col min="6" max="6" width="14.21875" bestFit="1" customWidth="1"/>
    <col min="7" max="7" width="10.5546875" bestFit="1" customWidth="1"/>
    <col min="8" max="8" width="6.6640625" bestFit="1" customWidth="1"/>
    <col min="10" max="10" width="13.109375" bestFit="1" customWidth="1"/>
    <col min="11" max="11" width="12.88671875" bestFit="1" customWidth="1"/>
    <col min="12" max="12" width="8" bestFit="1" customWidth="1"/>
    <col min="14" max="14" width="12.6640625" bestFit="1" customWidth="1"/>
  </cols>
  <sheetData>
    <row r="1" spans="1:15">
      <c r="A1" t="s">
        <v>51</v>
      </c>
      <c r="B1" t="s">
        <v>15</v>
      </c>
      <c r="C1" t="s">
        <v>0</v>
      </c>
      <c r="D1" t="s">
        <v>1</v>
      </c>
      <c r="E1" t="s">
        <v>2</v>
      </c>
      <c r="F1" t="s">
        <v>52</v>
      </c>
      <c r="G1" t="s">
        <v>17</v>
      </c>
      <c r="H1" t="s">
        <v>24</v>
      </c>
      <c r="J1" t="s">
        <v>28</v>
      </c>
      <c r="K1" t="s">
        <v>29</v>
      </c>
      <c r="L1" t="s">
        <v>20</v>
      </c>
      <c r="M1" t="s">
        <v>26</v>
      </c>
      <c r="N1" t="s">
        <v>27</v>
      </c>
      <c r="O1" t="s">
        <v>64</v>
      </c>
    </row>
    <row r="2" spans="1:15">
      <c r="A2">
        <v>1</v>
      </c>
      <c r="B2">
        <v>-4</v>
      </c>
      <c r="C2">
        <f t="shared" ref="C2:C16" si="0">10^(B2/20)</f>
        <v>0.63095734448019325</v>
      </c>
      <c r="D2">
        <f t="shared" ref="D2:D16" si="1">C2*100</f>
        <v>63.095734448019329</v>
      </c>
      <c r="E2">
        <f t="shared" ref="E2:E16" si="2">100-D2</f>
        <v>36.904265551980671</v>
      </c>
      <c r="F2">
        <f t="shared" ref="F2:F16" si="3">C2*2^17</f>
        <v>82700.84105570789</v>
      </c>
      <c r="G2">
        <f t="shared" ref="G2:G16" si="4">ROUND(F2,0)</f>
        <v>82701</v>
      </c>
      <c r="H2" t="s">
        <v>62</v>
      </c>
      <c r="J2">
        <v>3840</v>
      </c>
      <c r="K2">
        <v>1048576</v>
      </c>
      <c r="L2">
        <v>661608</v>
      </c>
      <c r="M2">
        <f t="shared" ref="M2:M17" si="5">L2/K2</f>
        <v>0.63095855712890625</v>
      </c>
      <c r="N2">
        <f>(C2-M2)/C2</f>
        <v>-1.9219186900810949E-6</v>
      </c>
      <c r="O2">
        <f>N2*100</f>
        <v>-1.9219186900810948E-4</v>
      </c>
    </row>
    <row r="3" spans="1:15">
      <c r="A3">
        <v>2</v>
      </c>
      <c r="B3">
        <v>-8</v>
      </c>
      <c r="C3">
        <f t="shared" si="0"/>
        <v>0.3981071705534972</v>
      </c>
      <c r="D3">
        <f t="shared" si="1"/>
        <v>39.81071705534972</v>
      </c>
      <c r="E3">
        <f t="shared" si="2"/>
        <v>60.18928294465028</v>
      </c>
      <c r="F3">
        <f t="shared" si="3"/>
        <v>52180.703058787985</v>
      </c>
      <c r="G3">
        <f t="shared" si="4"/>
        <v>52181</v>
      </c>
      <c r="H3" t="s">
        <v>53</v>
      </c>
      <c r="J3">
        <v>3584</v>
      </c>
      <c r="K3">
        <v>1048576</v>
      </c>
      <c r="L3">
        <v>417576</v>
      </c>
      <c r="M3">
        <f t="shared" si="5"/>
        <v>0.39823150634765625</v>
      </c>
      <c r="N3">
        <f t="shared" ref="N3:N17" si="6">(C3-M3)/C3</f>
        <v>-3.1231739429907901E-4</v>
      </c>
      <c r="O3">
        <f>N3*100</f>
        <v>-3.1231739429907902E-2</v>
      </c>
    </row>
    <row r="4" spans="1:15">
      <c r="A4">
        <v>3</v>
      </c>
      <c r="B4">
        <v>-12</v>
      </c>
      <c r="C4">
        <f t="shared" si="0"/>
        <v>0.25118864315095801</v>
      </c>
      <c r="D4">
        <f t="shared" si="1"/>
        <v>25.118864315095802</v>
      </c>
      <c r="E4">
        <f t="shared" si="2"/>
        <v>74.881135684904194</v>
      </c>
      <c r="F4">
        <f t="shared" si="3"/>
        <v>32923.797835082369</v>
      </c>
      <c r="G4">
        <f t="shared" si="4"/>
        <v>32924</v>
      </c>
      <c r="H4" t="s">
        <v>54</v>
      </c>
      <c r="J4">
        <v>3328</v>
      </c>
      <c r="K4">
        <v>1048576</v>
      </c>
      <c r="L4">
        <v>263904</v>
      </c>
      <c r="M4">
        <f t="shared" si="5"/>
        <v>0.251678466796875</v>
      </c>
      <c r="N4">
        <f t="shared" si="6"/>
        <v>-1.9500230574620975E-3</v>
      </c>
      <c r="O4">
        <f>N4*100</f>
        <v>-0.19500230574620975</v>
      </c>
    </row>
    <row r="5" spans="1:15">
      <c r="A5">
        <v>4</v>
      </c>
      <c r="B5">
        <v>-16</v>
      </c>
      <c r="C5">
        <f t="shared" si="0"/>
        <v>0.15848931924611132</v>
      </c>
      <c r="D5">
        <f t="shared" si="1"/>
        <v>15.848931924611131</v>
      </c>
      <c r="E5">
        <f t="shared" si="2"/>
        <v>84.151068075388864</v>
      </c>
      <c r="F5">
        <f t="shared" si="3"/>
        <v>20773.512052226302</v>
      </c>
      <c r="G5">
        <f t="shared" si="4"/>
        <v>20774</v>
      </c>
      <c r="H5">
        <v>5106</v>
      </c>
      <c r="J5">
        <v>3072</v>
      </c>
      <c r="K5">
        <v>1048576</v>
      </c>
      <c r="L5">
        <v>165936</v>
      </c>
      <c r="M5">
        <f t="shared" si="5"/>
        <v>0.1582489013671875</v>
      </c>
      <c r="N5">
        <f t="shared" si="6"/>
        <v>1.516934264513312E-3</v>
      </c>
      <c r="O5">
        <f>N5*100</f>
        <v>0.15169342645133121</v>
      </c>
    </row>
    <row r="6" spans="1:15">
      <c r="A6">
        <v>5</v>
      </c>
      <c r="B6">
        <v>-20</v>
      </c>
      <c r="C6">
        <f t="shared" si="0"/>
        <v>0.1</v>
      </c>
      <c r="D6">
        <f t="shared" si="1"/>
        <v>10</v>
      </c>
      <c r="E6">
        <f t="shared" si="2"/>
        <v>90</v>
      </c>
      <c r="F6">
        <f t="shared" si="3"/>
        <v>13107.2</v>
      </c>
      <c r="G6">
        <f t="shared" si="4"/>
        <v>13107</v>
      </c>
      <c r="H6">
        <v>3333</v>
      </c>
      <c r="J6">
        <v>2816</v>
      </c>
      <c r="K6">
        <v>1048576</v>
      </c>
      <c r="L6">
        <v>104856</v>
      </c>
      <c r="M6">
        <f t="shared" si="5"/>
        <v>9.999847412109375E-2</v>
      </c>
      <c r="N6">
        <f t="shared" si="6"/>
        <v>1.5258789062555511E-5</v>
      </c>
      <c r="O6">
        <f>N6*100</f>
        <v>1.5258789062555511E-3</v>
      </c>
    </row>
    <row r="7" spans="1:15">
      <c r="A7">
        <v>6</v>
      </c>
      <c r="B7">
        <v>-24</v>
      </c>
      <c r="C7">
        <f t="shared" si="0"/>
        <v>6.3095734448019317E-2</v>
      </c>
      <c r="D7">
        <f t="shared" si="1"/>
        <v>6.3095734448019316</v>
      </c>
      <c r="E7">
        <f t="shared" si="2"/>
        <v>93.690426555198073</v>
      </c>
      <c r="F7">
        <f t="shared" si="3"/>
        <v>8270.0841055707879</v>
      </c>
      <c r="G7">
        <f t="shared" si="4"/>
        <v>8270</v>
      </c>
      <c r="H7" t="s">
        <v>55</v>
      </c>
      <c r="J7">
        <v>2560</v>
      </c>
      <c r="K7">
        <v>1048576</v>
      </c>
      <c r="L7">
        <v>66160</v>
      </c>
      <c r="M7">
        <f t="shared" si="5"/>
        <v>6.30950927734375E-2</v>
      </c>
      <c r="N7">
        <f t="shared" si="6"/>
        <v>1.0169856764965109E-5</v>
      </c>
      <c r="O7">
        <f>N7*100</f>
        <v>1.0169856764965109E-3</v>
      </c>
    </row>
    <row r="8" spans="1:15">
      <c r="A8">
        <v>7</v>
      </c>
      <c r="B8">
        <v>-28</v>
      </c>
      <c r="C8">
        <f t="shared" si="0"/>
        <v>3.9810717055349727E-2</v>
      </c>
      <c r="D8">
        <f t="shared" si="1"/>
        <v>3.9810717055349727</v>
      </c>
      <c r="E8">
        <f t="shared" si="2"/>
        <v>96.018928294465027</v>
      </c>
      <c r="F8">
        <f t="shared" si="3"/>
        <v>5218.0703058787994</v>
      </c>
      <c r="G8">
        <f t="shared" si="4"/>
        <v>5218</v>
      </c>
      <c r="H8">
        <v>1462</v>
      </c>
      <c r="J8">
        <v>2304</v>
      </c>
      <c r="K8">
        <v>1048576</v>
      </c>
      <c r="L8">
        <v>41744</v>
      </c>
      <c r="M8">
        <f t="shared" si="5"/>
        <v>3.98101806640625E-2</v>
      </c>
      <c r="N8">
        <f t="shared" si="6"/>
        <v>1.3473539963659901E-5</v>
      </c>
      <c r="O8">
        <f>N8*100</f>
        <v>1.3473539963659901E-3</v>
      </c>
    </row>
    <row r="9" spans="1:15">
      <c r="A9">
        <v>8</v>
      </c>
      <c r="B9">
        <v>-32</v>
      </c>
      <c r="C9">
        <f t="shared" si="0"/>
        <v>2.511886431509578E-2</v>
      </c>
      <c r="D9">
        <f t="shared" si="1"/>
        <v>2.5118864315095779</v>
      </c>
      <c r="E9">
        <f t="shared" si="2"/>
        <v>97.488113568490419</v>
      </c>
      <c r="F9">
        <f t="shared" si="3"/>
        <v>3292.3797835082341</v>
      </c>
      <c r="G9">
        <f t="shared" si="4"/>
        <v>3292</v>
      </c>
      <c r="H9" t="s">
        <v>56</v>
      </c>
      <c r="J9">
        <v>2048</v>
      </c>
      <c r="K9">
        <v>1048576</v>
      </c>
      <c r="L9">
        <v>26336</v>
      </c>
      <c r="M9">
        <f t="shared" si="5"/>
        <v>2.5115966796875E-2</v>
      </c>
      <c r="N9">
        <f t="shared" si="6"/>
        <v>1.1535227805021264E-4</v>
      </c>
      <c r="O9">
        <f>N9*100</f>
        <v>1.1535227805021265E-2</v>
      </c>
    </row>
    <row r="10" spans="1:15">
      <c r="A10">
        <v>9</v>
      </c>
      <c r="B10">
        <v>-36</v>
      </c>
      <c r="C10">
        <f t="shared" si="0"/>
        <v>1.5848931924611124E-2</v>
      </c>
      <c r="D10">
        <f t="shared" si="1"/>
        <v>1.5848931924611125</v>
      </c>
      <c r="E10">
        <f t="shared" si="2"/>
        <v>98.415106807538891</v>
      </c>
      <c r="F10">
        <f t="shared" si="3"/>
        <v>2077.3512052226292</v>
      </c>
      <c r="G10">
        <f t="shared" si="4"/>
        <v>2077</v>
      </c>
      <c r="H10" t="s">
        <v>57</v>
      </c>
      <c r="J10">
        <v>1792</v>
      </c>
      <c r="K10">
        <v>1048576</v>
      </c>
      <c r="L10">
        <v>16616</v>
      </c>
      <c r="M10">
        <f t="shared" si="5"/>
        <v>1.584625244140625E-2</v>
      </c>
      <c r="N10">
        <f t="shared" si="6"/>
        <v>1.6906396075265184E-4</v>
      </c>
      <c r="O10">
        <f>N10*100</f>
        <v>1.6906396075265184E-2</v>
      </c>
    </row>
    <row r="11" spans="1:15">
      <c r="A11">
        <v>10</v>
      </c>
      <c r="B11">
        <v>-40</v>
      </c>
      <c r="C11">
        <f t="shared" si="0"/>
        <v>0.01</v>
      </c>
      <c r="D11">
        <f t="shared" si="1"/>
        <v>1</v>
      </c>
      <c r="E11">
        <f t="shared" si="2"/>
        <v>99</v>
      </c>
      <c r="F11">
        <f t="shared" si="3"/>
        <v>1310.72</v>
      </c>
      <c r="G11">
        <f t="shared" si="4"/>
        <v>1311</v>
      </c>
      <c r="H11" t="s">
        <v>58</v>
      </c>
      <c r="J11">
        <v>1536</v>
      </c>
      <c r="K11">
        <v>1048576</v>
      </c>
      <c r="L11">
        <v>10488</v>
      </c>
      <c r="M11">
        <f t="shared" si="5"/>
        <v>1.000213623046875E-2</v>
      </c>
      <c r="N11">
        <f t="shared" si="6"/>
        <v>-2.1362304687497918E-4</v>
      </c>
      <c r="O11">
        <f>N11*100</f>
        <v>-2.1362304687497918E-2</v>
      </c>
    </row>
    <row r="12" spans="1:15">
      <c r="A12">
        <v>11</v>
      </c>
      <c r="B12">
        <v>-44</v>
      </c>
      <c r="C12">
        <f t="shared" si="0"/>
        <v>6.3095734448019251E-3</v>
      </c>
      <c r="D12">
        <f t="shared" si="1"/>
        <v>0.63095734448019247</v>
      </c>
      <c r="E12">
        <f t="shared" si="2"/>
        <v>99.369042655519806</v>
      </c>
      <c r="F12">
        <f t="shared" si="3"/>
        <v>827.00841055707792</v>
      </c>
      <c r="G12">
        <f t="shared" si="4"/>
        <v>827</v>
      </c>
      <c r="H12" t="s">
        <v>59</v>
      </c>
      <c r="J12">
        <v>1280</v>
      </c>
      <c r="K12">
        <v>1048576</v>
      </c>
      <c r="L12">
        <v>6616</v>
      </c>
      <c r="M12">
        <f t="shared" si="5"/>
        <v>6.30950927734375E-3</v>
      </c>
      <c r="N12">
        <f t="shared" si="6"/>
        <v>1.0169856763920367E-5</v>
      </c>
      <c r="O12">
        <f>N12*100</f>
        <v>1.0169856763920368E-3</v>
      </c>
    </row>
    <row r="13" spans="1:15">
      <c r="A13">
        <v>12</v>
      </c>
      <c r="B13">
        <v>-48</v>
      </c>
      <c r="C13">
        <f t="shared" si="0"/>
        <v>3.9810717055349717E-3</v>
      </c>
      <c r="D13">
        <f t="shared" si="1"/>
        <v>0.39810717055349715</v>
      </c>
      <c r="E13">
        <f t="shared" si="2"/>
        <v>99.601892829446498</v>
      </c>
      <c r="F13">
        <f t="shared" si="3"/>
        <v>521.80703058787981</v>
      </c>
      <c r="G13">
        <f t="shared" si="4"/>
        <v>522</v>
      </c>
      <c r="H13" t="s">
        <v>60</v>
      </c>
      <c r="J13">
        <v>1024</v>
      </c>
      <c r="K13">
        <v>1048576</v>
      </c>
      <c r="L13">
        <v>4176</v>
      </c>
      <c r="M13">
        <f t="shared" si="5"/>
        <v>3.9825439453125E-3</v>
      </c>
      <c r="N13">
        <f t="shared" si="6"/>
        <v>-3.6980991211020699E-4</v>
      </c>
      <c r="O13">
        <f>N13*100</f>
        <v>-3.6980991211020699E-2</v>
      </c>
    </row>
    <row r="14" spans="1:15">
      <c r="A14">
        <v>13</v>
      </c>
      <c r="B14">
        <v>-52</v>
      </c>
      <c r="C14">
        <f t="shared" si="0"/>
        <v>2.5118864315095777E-3</v>
      </c>
      <c r="D14">
        <f t="shared" si="1"/>
        <v>0.25118864315095779</v>
      </c>
      <c r="E14">
        <f t="shared" si="2"/>
        <v>99.748811356849046</v>
      </c>
      <c r="F14">
        <f t="shared" si="3"/>
        <v>329.23797835082337</v>
      </c>
      <c r="G14">
        <f t="shared" si="4"/>
        <v>329</v>
      </c>
      <c r="H14">
        <v>149</v>
      </c>
      <c r="J14">
        <v>768</v>
      </c>
      <c r="K14">
        <v>1048576</v>
      </c>
      <c r="L14">
        <v>2632</v>
      </c>
      <c r="M14">
        <f t="shared" si="5"/>
        <v>2.51007080078125E-3</v>
      </c>
      <c r="N14">
        <f t="shared" si="6"/>
        <v>7.2281561202452776E-4</v>
      </c>
      <c r="O14">
        <f>N14*100</f>
        <v>7.2281561202452771E-2</v>
      </c>
    </row>
    <row r="15" spans="1:15">
      <c r="A15">
        <v>14</v>
      </c>
      <c r="B15">
        <v>-56</v>
      </c>
      <c r="C15">
        <f t="shared" si="0"/>
        <v>1.5848931924611134E-3</v>
      </c>
      <c r="D15">
        <f t="shared" si="1"/>
        <v>0.15848931924611134</v>
      </c>
      <c r="E15">
        <f t="shared" si="2"/>
        <v>99.841510680753885</v>
      </c>
      <c r="F15">
        <f t="shared" si="3"/>
        <v>207.73512052226306</v>
      </c>
      <c r="G15">
        <f t="shared" si="4"/>
        <v>208</v>
      </c>
      <c r="H15" t="s">
        <v>61</v>
      </c>
      <c r="J15">
        <v>512</v>
      </c>
      <c r="K15">
        <v>1048576</v>
      </c>
      <c r="L15">
        <v>1664</v>
      </c>
      <c r="M15">
        <f t="shared" si="5"/>
        <v>1.5869140625E-3</v>
      </c>
      <c r="N15">
        <f t="shared" si="6"/>
        <v>-1.2750827932754543E-3</v>
      </c>
      <c r="O15">
        <f>N15*100</f>
        <v>-0.12750827932754544</v>
      </c>
    </row>
    <row r="16" spans="1:15">
      <c r="A16">
        <v>15</v>
      </c>
      <c r="B16">
        <v>-60</v>
      </c>
      <c r="C16">
        <f t="shared" si="0"/>
        <v>1E-3</v>
      </c>
      <c r="D16">
        <f t="shared" si="1"/>
        <v>0.1</v>
      </c>
      <c r="E16">
        <f t="shared" si="2"/>
        <v>99.9</v>
      </c>
      <c r="F16">
        <f t="shared" si="3"/>
        <v>131.072</v>
      </c>
      <c r="G16">
        <f t="shared" si="4"/>
        <v>131</v>
      </c>
      <c r="H16">
        <v>83</v>
      </c>
      <c r="J16">
        <v>256</v>
      </c>
      <c r="K16">
        <v>1048576</v>
      </c>
      <c r="L16">
        <v>1048</v>
      </c>
      <c r="M16">
        <f t="shared" ref="M16" si="7">L16/K16</f>
        <v>9.9945068359375E-4</v>
      </c>
      <c r="N16">
        <f t="shared" si="6"/>
        <v>5.4931640625002082E-4</v>
      </c>
      <c r="O16">
        <f>N16*100</f>
        <v>5.4931640625002082E-2</v>
      </c>
    </row>
    <row r="17" spans="1:15">
      <c r="A17">
        <v>16</v>
      </c>
      <c r="B17" t="s">
        <v>63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J17">
        <v>0</v>
      </c>
      <c r="K17">
        <v>1048576</v>
      </c>
      <c r="L17">
        <v>0</v>
      </c>
      <c r="M17">
        <f t="shared" si="5"/>
        <v>0</v>
      </c>
      <c r="N17">
        <v>0</v>
      </c>
      <c r="O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CB22-FE3C-4C68-B871-26C12037A2C8}">
  <dimension ref="A1:M22"/>
  <sheetViews>
    <sheetView workbookViewId="0">
      <selection activeCell="L6" sqref="L6"/>
    </sheetView>
  </sheetViews>
  <sheetFormatPr defaultRowHeight="14.4"/>
  <cols>
    <col min="1" max="1" width="5.88671875" bestFit="1" customWidth="1"/>
    <col min="2" max="2" width="12.6640625" bestFit="1" customWidth="1"/>
    <col min="3" max="3" width="13.33203125" bestFit="1" customWidth="1"/>
    <col min="4" max="4" width="11.5546875" bestFit="1" customWidth="1"/>
    <col min="5" max="5" width="6.21875" bestFit="1" customWidth="1"/>
    <col min="6" max="6" width="10.109375" bestFit="1" customWidth="1"/>
    <col min="7" max="7" width="4.21875" bestFit="1" customWidth="1"/>
    <col min="8" max="8" width="5.88671875" bestFit="1" customWidth="1"/>
    <col min="9" max="9" width="12.6640625" bestFit="1" customWidth="1"/>
    <col min="10" max="10" width="13.33203125" bestFit="1" customWidth="1"/>
    <col min="11" max="11" width="11.5546875" bestFit="1" customWidth="1"/>
    <col min="12" max="12" width="6.33203125" bestFit="1" customWidth="1"/>
    <col min="13" max="13" width="10.109375" bestFit="1" customWidth="1"/>
    <col min="15" max="15" width="5.88671875" bestFit="1" customWidth="1"/>
    <col min="16" max="16" width="12.6640625" bestFit="1" customWidth="1"/>
    <col min="17" max="17" width="13.33203125" bestFit="1" customWidth="1"/>
    <col min="18" max="18" width="11.5546875" bestFit="1" customWidth="1"/>
    <col min="19" max="19" width="4.109375" bestFit="1" customWidth="1"/>
    <col min="20" max="20" width="10.109375" bestFit="1" customWidth="1"/>
    <col min="22" max="22" width="5.88671875" bestFit="1" customWidth="1"/>
    <col min="23" max="23" width="7.5546875" bestFit="1" customWidth="1"/>
    <col min="24" max="24" width="13.33203125" bestFit="1" customWidth="1"/>
    <col min="25" max="25" width="11.5546875" bestFit="1" customWidth="1"/>
    <col min="26" max="26" width="4.109375" bestFit="1" customWidth="1"/>
    <col min="27" max="27" width="10.109375" bestFit="1" customWidth="1"/>
  </cols>
  <sheetData>
    <row r="1" spans="1:13">
      <c r="A1" t="s">
        <v>22</v>
      </c>
      <c r="B1" t="s">
        <v>23</v>
      </c>
      <c r="C1" t="s">
        <v>33</v>
      </c>
      <c r="D1" t="s">
        <v>25</v>
      </c>
      <c r="E1" t="s">
        <v>24</v>
      </c>
      <c r="F1" t="s">
        <v>35</v>
      </c>
      <c r="H1" t="s">
        <v>22</v>
      </c>
      <c r="I1" t="s">
        <v>23</v>
      </c>
      <c r="J1" t="s">
        <v>33</v>
      </c>
      <c r="K1" t="s">
        <v>25</v>
      </c>
      <c r="L1" t="s">
        <v>24</v>
      </c>
      <c r="M1" t="s">
        <v>35</v>
      </c>
    </row>
    <row r="2" spans="1:13">
      <c r="A2">
        <v>1</v>
      </c>
      <c r="B2">
        <v>3.0935400000000002E-4</v>
      </c>
      <c r="C2">
        <f>B2*65536</f>
        <v>20.273823744000001</v>
      </c>
      <c r="D2">
        <v>20</v>
      </c>
      <c r="E2">
        <v>14</v>
      </c>
      <c r="F2" t="s">
        <v>36</v>
      </c>
      <c r="H2">
        <v>1</v>
      </c>
      <c r="I2">
        <v>0.66663827521715202</v>
      </c>
      <c r="J2">
        <f t="shared" ref="J2:J7" si="0">I2*2^16</f>
        <v>43688.806004631275</v>
      </c>
      <c r="K2">
        <v>43689</v>
      </c>
      <c r="L2" t="s">
        <v>39</v>
      </c>
      <c r="M2" t="s">
        <v>36</v>
      </c>
    </row>
    <row r="3" spans="1:13">
      <c r="A3">
        <v>2</v>
      </c>
      <c r="B3">
        <v>6.1870800000000004E-4</v>
      </c>
      <c r="C3">
        <f t="shared" ref="C3:C7" si="1">B3*65536</f>
        <v>40.547647488000003</v>
      </c>
      <c r="D3">
        <v>40</v>
      </c>
      <c r="E3">
        <v>28</v>
      </c>
      <c r="F3" t="s">
        <v>36</v>
      </c>
      <c r="H3">
        <v>2</v>
      </c>
      <c r="I3">
        <v>-1.3332765504343</v>
      </c>
      <c r="J3">
        <f t="shared" si="0"/>
        <v>-87377.612009262288</v>
      </c>
      <c r="K3">
        <v>-87378</v>
      </c>
      <c r="L3" t="s">
        <v>42</v>
      </c>
      <c r="M3" t="s">
        <v>36</v>
      </c>
    </row>
    <row r="4" spans="1:13">
      <c r="A4">
        <v>3</v>
      </c>
      <c r="B4">
        <v>3.0935400000000002E-4</v>
      </c>
      <c r="C4">
        <f t="shared" si="1"/>
        <v>20.273823744000001</v>
      </c>
      <c r="D4">
        <v>20</v>
      </c>
      <c r="E4">
        <v>14</v>
      </c>
      <c r="F4" t="s">
        <v>36</v>
      </c>
      <c r="H4">
        <v>3</v>
      </c>
      <c r="I4">
        <v>0.66663827521715202</v>
      </c>
      <c r="J4">
        <f t="shared" si="0"/>
        <v>43688.806004631275</v>
      </c>
      <c r="K4">
        <v>43689</v>
      </c>
      <c r="L4" t="s">
        <v>39</v>
      </c>
      <c r="M4" t="s">
        <v>36</v>
      </c>
    </row>
    <row r="5" spans="1:13">
      <c r="A5">
        <v>4</v>
      </c>
      <c r="B5">
        <v>1</v>
      </c>
      <c r="C5">
        <f t="shared" si="1"/>
        <v>65536</v>
      </c>
      <c r="D5">
        <v>65536</v>
      </c>
      <c r="E5">
        <v>10000</v>
      </c>
      <c r="F5" t="s">
        <v>37</v>
      </c>
      <c r="H5">
        <v>4</v>
      </c>
      <c r="I5">
        <v>1</v>
      </c>
      <c r="J5">
        <f t="shared" si="0"/>
        <v>65536</v>
      </c>
      <c r="K5">
        <v>65536</v>
      </c>
      <c r="L5">
        <v>10000</v>
      </c>
      <c r="M5" t="s">
        <v>37</v>
      </c>
    </row>
    <row r="6" spans="1:13">
      <c r="A6">
        <v>5</v>
      </c>
      <c r="B6">
        <v>-1.9496374000000001</v>
      </c>
      <c r="C6">
        <f t="shared" si="1"/>
        <v>-127771.4366464</v>
      </c>
      <c r="D6">
        <v>-127771</v>
      </c>
      <c r="E6" t="s">
        <v>38</v>
      </c>
      <c r="F6" t="s">
        <v>37</v>
      </c>
      <c r="H6">
        <v>5</v>
      </c>
      <c r="I6">
        <v>-1.2188761083637001</v>
      </c>
      <c r="J6">
        <f t="shared" si="0"/>
        <v>-79880.264637723449</v>
      </c>
      <c r="K6">
        <v>-79880</v>
      </c>
      <c r="L6" t="s">
        <v>41</v>
      </c>
      <c r="M6" t="s">
        <v>37</v>
      </c>
    </row>
    <row r="7" spans="1:13">
      <c r="A7">
        <v>6</v>
      </c>
      <c r="B7">
        <v>0.95087489999999997</v>
      </c>
      <c r="C7">
        <f t="shared" si="1"/>
        <v>62316.537446399998</v>
      </c>
      <c r="D7">
        <v>62316</v>
      </c>
      <c r="E7" t="s">
        <v>34</v>
      </c>
      <c r="F7" t="s">
        <v>37</v>
      </c>
      <c r="H7">
        <v>6</v>
      </c>
      <c r="I7">
        <v>0.447676992504908</v>
      </c>
      <c r="J7">
        <f t="shared" si="0"/>
        <v>29338.959380801651</v>
      </c>
      <c r="K7">
        <v>29339</v>
      </c>
      <c r="L7" t="s">
        <v>40</v>
      </c>
      <c r="M7" t="s">
        <v>37</v>
      </c>
    </row>
    <row r="10" spans="1:13">
      <c r="D10" t="s">
        <v>43</v>
      </c>
      <c r="E10">
        <v>250</v>
      </c>
      <c r="K10" t="s">
        <v>44</v>
      </c>
      <c r="L10" t="s">
        <v>45</v>
      </c>
    </row>
    <row r="11" spans="1:13">
      <c r="G11" t="s">
        <v>46</v>
      </c>
    </row>
    <row r="13" spans="1:13">
      <c r="A13" t="s">
        <v>22</v>
      </c>
      <c r="B13" t="s">
        <v>23</v>
      </c>
      <c r="C13" t="s">
        <v>33</v>
      </c>
      <c r="D13" t="s">
        <v>25</v>
      </c>
      <c r="E13" t="s">
        <v>24</v>
      </c>
      <c r="F13" t="s">
        <v>35</v>
      </c>
      <c r="H13" t="s">
        <v>22</v>
      </c>
      <c r="I13" t="s">
        <v>23</v>
      </c>
      <c r="J13" t="s">
        <v>33</v>
      </c>
      <c r="K13" t="s">
        <v>25</v>
      </c>
      <c r="L13" t="s">
        <v>24</v>
      </c>
      <c r="M13" t="s">
        <v>35</v>
      </c>
    </row>
    <row r="14" spans="1:13">
      <c r="A14">
        <v>1</v>
      </c>
      <c r="B14">
        <v>0.97512784248657902</v>
      </c>
      <c r="C14">
        <f>B14*2^16</f>
        <v>63905.978285200443</v>
      </c>
      <c r="D14">
        <v>63906</v>
      </c>
      <c r="E14" s="3" t="s">
        <v>47</v>
      </c>
      <c r="F14" t="s">
        <v>36</v>
      </c>
      <c r="H14">
        <v>1</v>
      </c>
      <c r="I14">
        <v>5.7200221035302E-2</v>
      </c>
      <c r="J14">
        <f>I14*2^16</f>
        <v>3748.6736857695519</v>
      </c>
      <c r="K14">
        <v>3749</v>
      </c>
      <c r="L14" t="s">
        <v>49</v>
      </c>
      <c r="M14" t="s">
        <v>36</v>
      </c>
    </row>
    <row r="15" spans="1:13">
      <c r="A15">
        <v>2</v>
      </c>
      <c r="B15">
        <v>-1.95025568497315</v>
      </c>
      <c r="C15">
        <f t="shared" ref="C15:C19" si="2">B15*2^16</f>
        <v>-127811.95657040036</v>
      </c>
      <c r="D15">
        <v>-127812</v>
      </c>
      <c r="E15" s="3" t="s">
        <v>50</v>
      </c>
      <c r="F15" t="s">
        <v>36</v>
      </c>
      <c r="H15">
        <v>2</v>
      </c>
      <c r="I15">
        <v>0.114400442070604</v>
      </c>
      <c r="J15">
        <f t="shared" ref="J15:J19" si="3">I15*2^16</f>
        <v>7497.3473715391037</v>
      </c>
      <c r="K15">
        <v>7497</v>
      </c>
      <c r="L15" t="s">
        <v>48</v>
      </c>
      <c r="M15" t="s">
        <v>36</v>
      </c>
    </row>
    <row r="16" spans="1:13">
      <c r="A16">
        <v>3</v>
      </c>
      <c r="B16">
        <v>0.97512784248657902</v>
      </c>
      <c r="C16">
        <f t="shared" si="2"/>
        <v>63905.978285200443</v>
      </c>
      <c r="D16">
        <v>63906</v>
      </c>
      <c r="E16" s="3" t="s">
        <v>47</v>
      </c>
      <c r="F16" t="s">
        <v>36</v>
      </c>
      <c r="H16">
        <v>3</v>
      </c>
      <c r="I16">
        <v>5.7200221035302E-2</v>
      </c>
      <c r="J16">
        <f t="shared" si="3"/>
        <v>3748.6736857695519</v>
      </c>
      <c r="K16">
        <v>3749</v>
      </c>
      <c r="L16" t="s">
        <v>49</v>
      </c>
      <c r="M16" t="s">
        <v>36</v>
      </c>
    </row>
    <row r="17" spans="1:13">
      <c r="A17">
        <v>4</v>
      </c>
      <c r="B17">
        <v>1</v>
      </c>
      <c r="C17">
        <f t="shared" si="2"/>
        <v>65536</v>
      </c>
      <c r="D17">
        <v>65536</v>
      </c>
      <c r="E17" s="3">
        <v>10000</v>
      </c>
      <c r="F17" t="s">
        <v>37</v>
      </c>
      <c r="H17">
        <v>4</v>
      </c>
      <c r="I17">
        <v>1</v>
      </c>
      <c r="J17">
        <f t="shared" si="3"/>
        <v>65536</v>
      </c>
      <c r="K17">
        <v>65536</v>
      </c>
      <c r="L17">
        <v>10000</v>
      </c>
      <c r="M17" t="s">
        <v>37</v>
      </c>
    </row>
    <row r="18" spans="1:13">
      <c r="A18">
        <v>5</v>
      </c>
      <c r="B18">
        <v>-1.94963697662567</v>
      </c>
      <c r="C18">
        <f t="shared" si="2"/>
        <v>-127771.40890013991</v>
      </c>
      <c r="D18">
        <v>-127771</v>
      </c>
      <c r="E18" s="3" t="s">
        <v>38</v>
      </c>
      <c r="F18" t="s">
        <v>37</v>
      </c>
      <c r="H18">
        <v>5</v>
      </c>
      <c r="I18">
        <v>-1.2188761083637001</v>
      </c>
      <c r="J18">
        <f t="shared" si="3"/>
        <v>-79880.264637723449</v>
      </c>
      <c r="K18">
        <v>-79880</v>
      </c>
      <c r="L18" t="s">
        <v>41</v>
      </c>
      <c r="M18" t="s">
        <v>37</v>
      </c>
    </row>
    <row r="19" spans="1:13">
      <c r="A19">
        <v>6</v>
      </c>
      <c r="B19">
        <v>0.95087439332064105</v>
      </c>
      <c r="C19">
        <f t="shared" si="2"/>
        <v>62316.504240661532</v>
      </c>
      <c r="D19">
        <v>62316</v>
      </c>
      <c r="E19" s="3" t="s">
        <v>34</v>
      </c>
      <c r="F19" t="s">
        <v>37</v>
      </c>
      <c r="H19">
        <v>6</v>
      </c>
      <c r="I19">
        <v>0.447676992504908</v>
      </c>
      <c r="J19">
        <f t="shared" si="3"/>
        <v>29338.959380801651</v>
      </c>
      <c r="K19">
        <v>29339</v>
      </c>
      <c r="L19" t="s">
        <v>40</v>
      </c>
      <c r="M19" t="s">
        <v>37</v>
      </c>
    </row>
    <row r="22" spans="1:13">
      <c r="D22" t="s">
        <v>44</v>
      </c>
      <c r="E22">
        <v>250</v>
      </c>
      <c r="K22" t="s">
        <v>43</v>
      </c>
      <c r="L2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0A05-FE0D-4691-B386-01EF647E2A68}">
  <dimension ref="A1:S17"/>
  <sheetViews>
    <sheetView workbookViewId="0">
      <selection sqref="A1:D14"/>
    </sheetView>
  </sheetViews>
  <sheetFormatPr defaultRowHeight="14.4"/>
  <cols>
    <col min="1" max="1" width="8.88671875" bestFit="1" customWidth="1"/>
    <col min="2" max="2" width="13.6640625" bestFit="1" customWidth="1"/>
    <col min="3" max="3" width="10.6640625" bestFit="1" customWidth="1"/>
    <col min="4" max="4" width="11.77734375" bestFit="1" customWidth="1"/>
    <col min="5" max="5" width="14.21875" bestFit="1" customWidth="1"/>
    <col min="6" max="6" width="10.5546875" bestFit="1" customWidth="1"/>
    <col min="8" max="9" width="5" bestFit="1" customWidth="1"/>
    <col min="10" max="10" width="6.44140625" bestFit="1" customWidth="1"/>
    <col min="11" max="11" width="13.6640625" bestFit="1" customWidth="1"/>
    <col min="13" max="13" width="12.6640625" bestFit="1" customWidth="1"/>
    <col min="15" max="15" width="13.109375" bestFit="1" customWidth="1"/>
    <col min="16" max="16" width="12.88671875" bestFit="1" customWidth="1"/>
    <col min="17" max="17" width="8" bestFit="1" customWidth="1"/>
    <col min="18" max="18" width="12" bestFit="1" customWidth="1"/>
    <col min="19" max="19" width="12.6640625" bestFit="1" customWidth="1"/>
  </cols>
  <sheetData>
    <row r="1" spans="1:19">
      <c r="A1" t="s">
        <v>15</v>
      </c>
      <c r="B1" t="s">
        <v>0</v>
      </c>
      <c r="C1" t="s">
        <v>1</v>
      </c>
      <c r="D1" t="s">
        <v>2</v>
      </c>
      <c r="E1" t="s">
        <v>16</v>
      </c>
      <c r="F1" t="s">
        <v>17</v>
      </c>
      <c r="H1" t="s">
        <v>18</v>
      </c>
      <c r="I1" t="s">
        <v>19</v>
      </c>
      <c r="J1" t="s">
        <v>20</v>
      </c>
      <c r="K1" t="s">
        <v>0</v>
      </c>
      <c r="M1" t="s">
        <v>21</v>
      </c>
      <c r="O1" t="s">
        <v>28</v>
      </c>
      <c r="P1" t="s">
        <v>29</v>
      </c>
      <c r="Q1" t="s">
        <v>20</v>
      </c>
      <c r="R1" t="s">
        <v>26</v>
      </c>
      <c r="S1" t="s">
        <v>27</v>
      </c>
    </row>
    <row r="2" spans="1:19">
      <c r="A2">
        <v>-6</v>
      </c>
      <c r="B2">
        <v>0.50119999999999998</v>
      </c>
      <c r="C2" s="1">
        <v>0.50119999999999998</v>
      </c>
      <c r="D2" t="s">
        <v>3</v>
      </c>
      <c r="E2">
        <f>B2*32768</f>
        <v>16423.321599999999</v>
      </c>
      <c r="F2">
        <v>16423</v>
      </c>
      <c r="H2">
        <v>316</v>
      </c>
      <c r="I2">
        <v>4096</v>
      </c>
      <c r="J2">
        <v>2052</v>
      </c>
      <c r="K2">
        <f>J2/I2</f>
        <v>0.5009765625</v>
      </c>
      <c r="M2">
        <f>(K2-B2)*100/B2</f>
        <v>-4.4580506783714856E-2</v>
      </c>
      <c r="O2">
        <v>316</v>
      </c>
      <c r="P2">
        <v>1048576</v>
      </c>
      <c r="Q2">
        <v>525536</v>
      </c>
      <c r="R2">
        <f>Q2/P2</f>
        <v>0.501190185546875</v>
      </c>
      <c r="S2">
        <f>(R2-B2)*100</f>
        <v>-9.8144531249788614E-4</v>
      </c>
    </row>
    <row r="3" spans="1:19">
      <c r="A3">
        <v>-5</v>
      </c>
      <c r="B3">
        <v>0.56230000000000002</v>
      </c>
      <c r="C3" s="1">
        <v>0.56230000000000002</v>
      </c>
      <c r="D3" t="s">
        <v>4</v>
      </c>
      <c r="E3">
        <f t="shared" ref="E3:E8" si="0">B3*32768</f>
        <v>18425.446400000001</v>
      </c>
      <c r="F3">
        <v>18425</v>
      </c>
      <c r="H3">
        <v>631</v>
      </c>
      <c r="I3">
        <v>4096</v>
      </c>
      <c r="J3">
        <v>2303</v>
      </c>
      <c r="K3">
        <f t="shared" ref="K3:K14" si="1">J3/I3</f>
        <v>0.562255859375</v>
      </c>
      <c r="M3">
        <f t="shared" ref="M3:M14" si="2">(K3-B3)*100/B3</f>
        <v>-7.8500133380796765E-3</v>
      </c>
      <c r="O3">
        <v>631</v>
      </c>
      <c r="P3">
        <v>1048576</v>
      </c>
      <c r="Q3">
        <v>589600</v>
      </c>
      <c r="R3">
        <f t="shared" ref="R3:R14" si="3">Q3/P3</f>
        <v>0.562286376953125</v>
      </c>
      <c r="S3">
        <f t="shared" ref="S3:S14" si="4">(R3-B3)*100</f>
        <v>-1.3623046875022027E-3</v>
      </c>
    </row>
    <row r="4" spans="1:19">
      <c r="A4">
        <v>-4</v>
      </c>
      <c r="B4">
        <v>0.63100000000000001</v>
      </c>
      <c r="C4" s="1">
        <v>0.63100000000000001</v>
      </c>
      <c r="D4" t="s">
        <v>5</v>
      </c>
      <c r="E4">
        <f t="shared" si="0"/>
        <v>20676.608</v>
      </c>
      <c r="F4">
        <v>20677</v>
      </c>
      <c r="H4">
        <v>946</v>
      </c>
      <c r="I4">
        <v>4096</v>
      </c>
      <c r="J4">
        <v>2584</v>
      </c>
      <c r="K4">
        <f t="shared" si="1"/>
        <v>0.630859375</v>
      </c>
      <c r="M4">
        <f t="shared" si="2"/>
        <v>-2.2286053882726677E-2</v>
      </c>
      <c r="O4">
        <v>946</v>
      </c>
      <c r="P4">
        <v>1048576</v>
      </c>
      <c r="Q4">
        <v>661664</v>
      </c>
      <c r="R4">
        <f t="shared" si="3"/>
        <v>0.631011962890625</v>
      </c>
      <c r="S4">
        <f t="shared" si="4"/>
        <v>1.1962890624994671E-3</v>
      </c>
    </row>
    <row r="5" spans="1:19">
      <c r="A5">
        <v>-3</v>
      </c>
      <c r="B5">
        <v>0.70789999999999997</v>
      </c>
      <c r="C5" s="1">
        <v>0.70789999999999997</v>
      </c>
      <c r="D5" t="s">
        <v>6</v>
      </c>
      <c r="E5">
        <f t="shared" si="0"/>
        <v>23196.467199999999</v>
      </c>
      <c r="F5">
        <v>23196</v>
      </c>
      <c r="H5">
        <v>1261</v>
      </c>
      <c r="I5">
        <v>4096</v>
      </c>
      <c r="J5">
        <v>2899</v>
      </c>
      <c r="K5">
        <f t="shared" si="1"/>
        <v>0.707763671875</v>
      </c>
      <c r="M5">
        <f t="shared" si="2"/>
        <v>-1.9258104958323734E-2</v>
      </c>
      <c r="O5">
        <v>1261</v>
      </c>
      <c r="P5">
        <v>1048576</v>
      </c>
      <c r="Q5">
        <v>742272</v>
      </c>
      <c r="R5">
        <f t="shared" si="3"/>
        <v>0.7078857421875</v>
      </c>
      <c r="S5">
        <f t="shared" si="4"/>
        <v>-1.425781249997371E-3</v>
      </c>
    </row>
    <row r="6" spans="1:19">
      <c r="A6">
        <v>-2</v>
      </c>
      <c r="B6">
        <v>0.79430000000000001</v>
      </c>
      <c r="C6" s="1">
        <v>0.79430000000000001</v>
      </c>
      <c r="D6" t="s">
        <v>7</v>
      </c>
      <c r="E6">
        <f t="shared" si="0"/>
        <v>26027.6224</v>
      </c>
      <c r="F6">
        <v>26028</v>
      </c>
      <c r="H6">
        <v>1576</v>
      </c>
      <c r="I6">
        <v>4096</v>
      </c>
      <c r="J6">
        <v>3253</v>
      </c>
      <c r="K6">
        <f t="shared" si="1"/>
        <v>0.794189453125</v>
      </c>
      <c r="M6">
        <f t="shared" si="2"/>
        <v>-1.3917521717236063E-2</v>
      </c>
      <c r="O6">
        <v>1576</v>
      </c>
      <c r="P6">
        <v>1048576</v>
      </c>
      <c r="Q6">
        <v>832896</v>
      </c>
      <c r="R6">
        <f t="shared" si="3"/>
        <v>0.7943115234375</v>
      </c>
      <c r="S6">
        <f t="shared" si="4"/>
        <v>1.152343749999396E-3</v>
      </c>
    </row>
    <row r="7" spans="1:19">
      <c r="A7">
        <v>-1</v>
      </c>
      <c r="B7">
        <v>0.89129999999999998</v>
      </c>
      <c r="C7" s="1">
        <v>0.89129999999999998</v>
      </c>
      <c r="D7" t="s">
        <v>8</v>
      </c>
      <c r="E7">
        <f t="shared" si="0"/>
        <v>29206.118399999999</v>
      </c>
      <c r="F7">
        <v>29206</v>
      </c>
      <c r="H7">
        <v>1891</v>
      </c>
      <c r="I7">
        <v>4096</v>
      </c>
      <c r="J7">
        <v>3634</v>
      </c>
      <c r="K7">
        <f t="shared" si="1"/>
        <v>0.88720703125</v>
      </c>
      <c r="M7">
        <f t="shared" si="2"/>
        <v>-0.45921336811398872</v>
      </c>
      <c r="O7">
        <v>1891</v>
      </c>
      <c r="P7">
        <v>1048576</v>
      </c>
      <c r="Q7">
        <v>930496</v>
      </c>
      <c r="R7">
        <f t="shared" si="3"/>
        <v>0.88739013671875</v>
      </c>
      <c r="S7">
        <f t="shared" si="4"/>
        <v>-0.39098632812499812</v>
      </c>
    </row>
    <row r="8" spans="1:19">
      <c r="A8">
        <v>0</v>
      </c>
      <c r="B8">
        <v>1</v>
      </c>
      <c r="C8" s="2">
        <v>1</v>
      </c>
      <c r="D8" s="2">
        <v>0</v>
      </c>
      <c r="E8">
        <f t="shared" si="0"/>
        <v>32768</v>
      </c>
      <c r="F8">
        <v>32768</v>
      </c>
      <c r="H8">
        <v>2206</v>
      </c>
      <c r="I8">
        <v>4096</v>
      </c>
      <c r="J8">
        <v>4096</v>
      </c>
      <c r="K8">
        <f t="shared" si="1"/>
        <v>1</v>
      </c>
      <c r="M8">
        <f t="shared" si="2"/>
        <v>0</v>
      </c>
      <c r="O8">
        <v>2206</v>
      </c>
      <c r="P8">
        <v>1048576</v>
      </c>
      <c r="Q8">
        <v>1048576</v>
      </c>
      <c r="R8">
        <f t="shared" si="3"/>
        <v>1</v>
      </c>
      <c r="S8">
        <f t="shared" si="4"/>
        <v>0</v>
      </c>
    </row>
    <row r="9" spans="1:19">
      <c r="A9">
        <v>1</v>
      </c>
      <c r="B9">
        <v>1.1220000000000001</v>
      </c>
      <c r="C9" s="1">
        <v>1.1220000000000001</v>
      </c>
      <c r="D9" t="s">
        <v>9</v>
      </c>
      <c r="E9">
        <f t="shared" ref="E9:E14" si="5">B9*32768</f>
        <v>36765.696000000004</v>
      </c>
      <c r="F9">
        <v>36766</v>
      </c>
      <c r="H9">
        <v>2521</v>
      </c>
      <c r="I9">
        <v>4096</v>
      </c>
      <c r="J9">
        <v>4603</v>
      </c>
      <c r="K9">
        <f t="shared" si="1"/>
        <v>1.123779296875</v>
      </c>
      <c r="M9">
        <f t="shared" si="2"/>
        <v>0.15858260918002598</v>
      </c>
      <c r="O9">
        <v>2521</v>
      </c>
      <c r="P9">
        <v>1048576</v>
      </c>
      <c r="Q9">
        <v>1178560</v>
      </c>
      <c r="R9">
        <f t="shared" si="3"/>
        <v>1.12396240234375</v>
      </c>
      <c r="S9">
        <f t="shared" si="4"/>
        <v>0.19624023437498916</v>
      </c>
    </row>
    <row r="10" spans="1:19">
      <c r="A10">
        <v>2</v>
      </c>
      <c r="B10">
        <v>1.2588999999999999</v>
      </c>
      <c r="C10" s="1">
        <v>1.2588999999999999</v>
      </c>
      <c r="D10" t="s">
        <v>10</v>
      </c>
      <c r="E10">
        <f t="shared" si="5"/>
        <v>41251.635199999997</v>
      </c>
      <c r="F10">
        <v>41252</v>
      </c>
      <c r="H10">
        <v>2836</v>
      </c>
      <c r="I10">
        <v>4096</v>
      </c>
      <c r="J10">
        <v>5156</v>
      </c>
      <c r="K10">
        <f t="shared" si="1"/>
        <v>1.2587890625</v>
      </c>
      <c r="M10">
        <f t="shared" si="2"/>
        <v>-8.8122567320603699E-3</v>
      </c>
      <c r="O10">
        <v>2836</v>
      </c>
      <c r="P10">
        <v>1048576</v>
      </c>
      <c r="Q10">
        <v>1320064</v>
      </c>
      <c r="R10">
        <f t="shared" si="3"/>
        <v>1.2589111328125</v>
      </c>
      <c r="S10">
        <f t="shared" si="4"/>
        <v>1.1132812500092015E-3</v>
      </c>
    </row>
    <row r="11" spans="1:19">
      <c r="A11">
        <v>3</v>
      </c>
      <c r="B11">
        <v>1.4125000000000001</v>
      </c>
      <c r="C11" s="1">
        <v>1.4125000000000001</v>
      </c>
      <c r="D11" t="s">
        <v>11</v>
      </c>
      <c r="E11">
        <f t="shared" si="5"/>
        <v>46284.800000000003</v>
      </c>
      <c r="F11">
        <v>46285</v>
      </c>
      <c r="H11">
        <v>3150</v>
      </c>
      <c r="I11">
        <v>4096</v>
      </c>
      <c r="J11">
        <v>5793</v>
      </c>
      <c r="K11">
        <f t="shared" si="1"/>
        <v>1.414306640625</v>
      </c>
      <c r="M11">
        <f t="shared" si="2"/>
        <v>0.1279037610619406</v>
      </c>
      <c r="O11">
        <v>3150</v>
      </c>
      <c r="P11">
        <v>1048576</v>
      </c>
      <c r="Q11">
        <v>1483168</v>
      </c>
      <c r="R11">
        <f t="shared" si="3"/>
        <v>1.414459228515625</v>
      </c>
      <c r="S11">
        <f t="shared" si="4"/>
        <v>0.19592285156249112</v>
      </c>
    </row>
    <row r="12" spans="1:19">
      <c r="A12">
        <v>4</v>
      </c>
      <c r="B12">
        <v>1.5849</v>
      </c>
      <c r="C12" s="1">
        <v>1.5849</v>
      </c>
      <c r="D12" t="s">
        <v>12</v>
      </c>
      <c r="E12">
        <f t="shared" si="5"/>
        <v>51934.003199999999</v>
      </c>
      <c r="F12">
        <v>51934</v>
      </c>
      <c r="H12">
        <v>3466</v>
      </c>
      <c r="I12">
        <v>4096</v>
      </c>
      <c r="J12">
        <v>6491</v>
      </c>
      <c r="K12">
        <f t="shared" si="1"/>
        <v>1.584716796875</v>
      </c>
      <c r="M12">
        <f t="shared" si="2"/>
        <v>-1.1559286074829674E-2</v>
      </c>
      <c r="O12">
        <v>3466</v>
      </c>
      <c r="P12">
        <v>1048576</v>
      </c>
      <c r="Q12">
        <v>1661888</v>
      </c>
      <c r="R12">
        <f t="shared" si="3"/>
        <v>1.58489990234375</v>
      </c>
      <c r="S12">
        <f t="shared" si="4"/>
        <v>-9.7656249975486276E-6</v>
      </c>
    </row>
    <row r="13" spans="1:19">
      <c r="A13">
        <v>5</v>
      </c>
      <c r="B13">
        <v>1.7783</v>
      </c>
      <c r="C13" s="1">
        <v>1.7783</v>
      </c>
      <c r="D13" t="s">
        <v>13</v>
      </c>
      <c r="E13">
        <f t="shared" si="5"/>
        <v>58271.3344</v>
      </c>
      <c r="F13">
        <v>58271</v>
      </c>
      <c r="H13">
        <v>3781</v>
      </c>
      <c r="I13">
        <v>4096</v>
      </c>
      <c r="J13">
        <v>7283</v>
      </c>
      <c r="K13">
        <f t="shared" si="1"/>
        <v>1.778076171875</v>
      </c>
      <c r="M13">
        <f t="shared" si="2"/>
        <v>-1.258663470730427E-2</v>
      </c>
      <c r="O13">
        <v>3781</v>
      </c>
      <c r="P13">
        <v>1048576</v>
      </c>
      <c r="Q13">
        <v>1864672</v>
      </c>
      <c r="R13">
        <f t="shared" si="3"/>
        <v>1.778289794921875</v>
      </c>
      <c r="S13">
        <f t="shared" si="4"/>
        <v>-1.0205078124991829E-3</v>
      </c>
    </row>
    <row r="14" spans="1:19">
      <c r="A14">
        <v>6</v>
      </c>
      <c r="B14">
        <v>1.9953000000000001</v>
      </c>
      <c r="C14" s="1">
        <v>1.9953000000000001</v>
      </c>
      <c r="D14" t="s">
        <v>14</v>
      </c>
      <c r="E14">
        <f t="shared" si="5"/>
        <v>65381.990400000002</v>
      </c>
      <c r="F14">
        <v>65382</v>
      </c>
      <c r="H14">
        <v>4095</v>
      </c>
      <c r="I14">
        <v>4096</v>
      </c>
      <c r="J14">
        <v>8172</v>
      </c>
      <c r="K14">
        <f t="shared" si="1"/>
        <v>1.9951171875</v>
      </c>
      <c r="M14">
        <f t="shared" si="2"/>
        <v>-9.1621560667605635E-3</v>
      </c>
      <c r="O14">
        <v>4095</v>
      </c>
      <c r="P14">
        <v>1048576</v>
      </c>
      <c r="Q14">
        <v>2092224</v>
      </c>
      <c r="R14">
        <f t="shared" si="3"/>
        <v>1.99530029296875</v>
      </c>
      <c r="S14">
        <f t="shared" si="4"/>
        <v>2.9296874992645883E-5</v>
      </c>
    </row>
    <row r="17" spans="3:17">
      <c r="C17" t="s">
        <v>30</v>
      </c>
      <c r="K17" t="s">
        <v>31</v>
      </c>
      <c r="Q1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C4E7-6CCA-48A7-829C-3E569C194BE6}">
  <dimension ref="A1:O18"/>
  <sheetViews>
    <sheetView tabSelected="1" workbookViewId="0">
      <selection activeCell="Q5" sqref="Q5"/>
    </sheetView>
  </sheetViews>
  <sheetFormatPr defaultRowHeight="14.4"/>
  <cols>
    <col min="1" max="1" width="5.88671875" bestFit="1" customWidth="1"/>
    <col min="3" max="3" width="13.6640625" bestFit="1" customWidth="1"/>
    <col min="4" max="4" width="10.6640625" bestFit="1" customWidth="1"/>
    <col min="5" max="5" width="8.77734375" bestFit="1" customWidth="1"/>
    <col min="6" max="6" width="15.33203125" bestFit="1" customWidth="1"/>
    <col min="7" max="7" width="8.5546875" bestFit="1" customWidth="1"/>
    <col min="8" max="8" width="9.77734375" bestFit="1" customWidth="1"/>
    <col min="10" max="10" width="13.109375" bestFit="1" customWidth="1"/>
    <col min="11" max="11" width="11.77734375" bestFit="1" customWidth="1"/>
    <col min="12" max="12" width="8" bestFit="1" customWidth="1"/>
  </cols>
  <sheetData>
    <row r="1" spans="1:15">
      <c r="A1" t="s">
        <v>22</v>
      </c>
      <c r="B1" t="s">
        <v>15</v>
      </c>
      <c r="C1" t="s">
        <v>0</v>
      </c>
      <c r="D1" t="s">
        <v>1</v>
      </c>
      <c r="E1" t="s">
        <v>2</v>
      </c>
      <c r="F1" t="s">
        <v>79</v>
      </c>
      <c r="G1" t="s">
        <v>66</v>
      </c>
      <c r="H1" s="4" t="s">
        <v>67</v>
      </c>
      <c r="J1" t="s">
        <v>28</v>
      </c>
      <c r="K1" t="s">
        <v>80</v>
      </c>
      <c r="L1" t="s">
        <v>20</v>
      </c>
      <c r="M1" t="s">
        <v>26</v>
      </c>
      <c r="N1" t="s">
        <v>27</v>
      </c>
      <c r="O1" t="s">
        <v>81</v>
      </c>
    </row>
    <row r="2" spans="1:15">
      <c r="A2">
        <v>1</v>
      </c>
      <c r="B2" s="5" t="s">
        <v>65</v>
      </c>
      <c r="C2" s="5">
        <v>0</v>
      </c>
      <c r="D2" s="6">
        <v>0</v>
      </c>
      <c r="E2" s="6">
        <v>1</v>
      </c>
      <c r="F2" s="5">
        <v>0</v>
      </c>
      <c r="G2" s="5">
        <v>0</v>
      </c>
      <c r="H2" s="7" t="s">
        <v>78</v>
      </c>
      <c r="J2">
        <v>0</v>
      </c>
      <c r="K2">
        <v>4194304</v>
      </c>
      <c r="L2">
        <v>0</v>
      </c>
      <c r="M2">
        <f>L2/K2</f>
        <v>0</v>
      </c>
      <c r="N2">
        <v>0</v>
      </c>
      <c r="O2">
        <f>N2*100</f>
        <v>0</v>
      </c>
    </row>
    <row r="3" spans="1:15">
      <c r="A3">
        <v>2</v>
      </c>
      <c r="B3">
        <v>-6</v>
      </c>
      <c r="C3">
        <f>10^(B3/20)</f>
        <v>0.50118723362727224</v>
      </c>
      <c r="D3" s="1">
        <f>C3</f>
        <v>0.50118723362727224</v>
      </c>
      <c r="E3" s="1">
        <f>(1-D3)</f>
        <v>0.49881276637272776</v>
      </c>
      <c r="F3">
        <f>C3*2^16</f>
        <v>32845.806542996914</v>
      </c>
      <c r="G3">
        <f>ROUND(F3,0)</f>
        <v>32846</v>
      </c>
      <c r="H3" s="4" t="s">
        <v>68</v>
      </c>
      <c r="J3">
        <v>256</v>
      </c>
      <c r="K3">
        <v>4194304</v>
      </c>
      <c r="L3">
        <v>2102144</v>
      </c>
      <c r="M3">
        <f t="shared" ref="M3:M17" si="0">L3/K3</f>
        <v>0.501190185546875</v>
      </c>
      <c r="N3">
        <f>(C3-M3)/C3</f>
        <v>-5.8898539401971371E-6</v>
      </c>
      <c r="O3">
        <f t="shared" ref="O3:O17" si="1">N3*100</f>
        <v>-5.8898539401971376E-4</v>
      </c>
    </row>
    <row r="4" spans="1:15">
      <c r="A4">
        <v>3</v>
      </c>
      <c r="B4">
        <v>-6</v>
      </c>
      <c r="C4">
        <f t="shared" ref="C4:C17" si="2">10^(B4/20)</f>
        <v>0.50118723362727224</v>
      </c>
      <c r="D4" s="1">
        <f t="shared" ref="D4:D18" si="3">C4</f>
        <v>0.50118723362727224</v>
      </c>
      <c r="E4" s="1">
        <f t="shared" ref="E4:E18" si="4">(1-D4)</f>
        <v>0.49881276637272776</v>
      </c>
      <c r="F4">
        <f t="shared" ref="F4:F17" si="5">C4*2^16</f>
        <v>32845.806542996914</v>
      </c>
      <c r="G4">
        <f t="shared" ref="G4:G17" si="6">ROUND(F4,0)</f>
        <v>32846</v>
      </c>
      <c r="H4" s="4" t="s">
        <v>68</v>
      </c>
      <c r="J4">
        <v>512</v>
      </c>
      <c r="K4">
        <v>4194304</v>
      </c>
      <c r="L4">
        <v>2102144</v>
      </c>
      <c r="M4">
        <f t="shared" si="0"/>
        <v>0.501190185546875</v>
      </c>
      <c r="N4">
        <f t="shared" ref="N4:N17" si="7">(C4-M4)/C4</f>
        <v>-5.8898539401971371E-6</v>
      </c>
      <c r="O4">
        <f t="shared" si="1"/>
        <v>-5.8898539401971376E-4</v>
      </c>
    </row>
    <row r="5" spans="1:15">
      <c r="A5">
        <v>4</v>
      </c>
      <c r="B5">
        <v>-5</v>
      </c>
      <c r="C5">
        <f t="shared" si="2"/>
        <v>0.56234132519034907</v>
      </c>
      <c r="D5" s="1">
        <f t="shared" si="3"/>
        <v>0.56234132519034907</v>
      </c>
      <c r="E5" s="1">
        <f t="shared" si="4"/>
        <v>0.43765867480965093</v>
      </c>
      <c r="F5">
        <f t="shared" si="5"/>
        <v>36853.601087674717</v>
      </c>
      <c r="G5">
        <f t="shared" si="6"/>
        <v>36854</v>
      </c>
      <c r="H5" s="4">
        <v>46064</v>
      </c>
      <c r="J5">
        <v>768</v>
      </c>
      <c r="K5">
        <v>4194304</v>
      </c>
      <c r="L5">
        <v>2358656</v>
      </c>
      <c r="M5">
        <f t="shared" si="0"/>
        <v>0.562347412109375</v>
      </c>
      <c r="N5">
        <f t="shared" si="7"/>
        <v>-1.0824242774380469E-5</v>
      </c>
      <c r="O5">
        <f t="shared" si="1"/>
        <v>-1.0824242774380469E-3</v>
      </c>
    </row>
    <row r="6" spans="1:15">
      <c r="A6">
        <v>5</v>
      </c>
      <c r="B6">
        <v>-4</v>
      </c>
      <c r="C6">
        <f t="shared" si="2"/>
        <v>0.63095734448019325</v>
      </c>
      <c r="D6" s="1">
        <f t="shared" si="3"/>
        <v>0.63095734448019325</v>
      </c>
      <c r="E6" s="1">
        <f t="shared" si="4"/>
        <v>0.36904265551980675</v>
      </c>
      <c r="F6">
        <f t="shared" si="5"/>
        <v>41350.420527853945</v>
      </c>
      <c r="G6">
        <f t="shared" si="6"/>
        <v>41350</v>
      </c>
      <c r="H6" s="4" t="s">
        <v>62</v>
      </c>
      <c r="J6">
        <v>1024</v>
      </c>
      <c r="K6">
        <v>4194304</v>
      </c>
      <c r="L6">
        <v>2646400</v>
      </c>
      <c r="M6">
        <f t="shared" si="0"/>
        <v>0.630950927734375</v>
      </c>
      <c r="N6">
        <f t="shared" si="7"/>
        <v>1.0169856765097077E-5</v>
      </c>
      <c r="O6">
        <f t="shared" si="1"/>
        <v>1.0169856765097078E-3</v>
      </c>
    </row>
    <row r="7" spans="1:15">
      <c r="A7">
        <v>6</v>
      </c>
      <c r="B7">
        <v>-3</v>
      </c>
      <c r="C7">
        <f t="shared" si="2"/>
        <v>0.70794578438413791</v>
      </c>
      <c r="D7" s="1">
        <f t="shared" si="3"/>
        <v>0.70794578438413791</v>
      </c>
      <c r="E7" s="1">
        <f t="shared" si="4"/>
        <v>0.29205421561586209</v>
      </c>
      <c r="F7">
        <f t="shared" si="5"/>
        <v>46395.934925398862</v>
      </c>
      <c r="G7">
        <f t="shared" si="6"/>
        <v>46396</v>
      </c>
      <c r="H7" s="4" t="s">
        <v>69</v>
      </c>
      <c r="J7">
        <v>1280</v>
      </c>
      <c r="K7">
        <v>4194304</v>
      </c>
      <c r="L7">
        <v>2969344</v>
      </c>
      <c r="M7">
        <f t="shared" si="0"/>
        <v>0.70794677734375</v>
      </c>
      <c r="N7">
        <f t="shared" si="7"/>
        <v>-1.4025927323703944E-6</v>
      </c>
      <c r="O7">
        <f t="shared" si="1"/>
        <v>-1.4025927323703944E-4</v>
      </c>
    </row>
    <row r="8" spans="1:15">
      <c r="A8">
        <v>7</v>
      </c>
      <c r="B8">
        <v>-2</v>
      </c>
      <c r="C8">
        <f t="shared" si="2"/>
        <v>0.79432823472428149</v>
      </c>
      <c r="D8" s="1">
        <f t="shared" si="3"/>
        <v>0.79432823472428149</v>
      </c>
      <c r="E8" s="1">
        <f t="shared" si="4"/>
        <v>0.20567176527571851</v>
      </c>
      <c r="F8">
        <f t="shared" si="5"/>
        <v>52057.095190890512</v>
      </c>
      <c r="G8">
        <f t="shared" si="6"/>
        <v>52057</v>
      </c>
      <c r="H8" s="4" t="s">
        <v>70</v>
      </c>
      <c r="J8">
        <v>1536</v>
      </c>
      <c r="K8">
        <v>4194304</v>
      </c>
      <c r="L8">
        <v>3331648</v>
      </c>
      <c r="M8">
        <f t="shared" si="0"/>
        <v>0.7943267822265625</v>
      </c>
      <c r="N8">
        <f t="shared" si="7"/>
        <v>1.8285862890096137E-6</v>
      </c>
      <c r="O8">
        <f t="shared" si="1"/>
        <v>1.8285862890096138E-4</v>
      </c>
    </row>
    <row r="9" spans="1:15">
      <c r="A9">
        <v>8</v>
      </c>
      <c r="B9">
        <v>-1</v>
      </c>
      <c r="C9">
        <f t="shared" si="2"/>
        <v>0.89125093813374545</v>
      </c>
      <c r="D9" s="1">
        <f t="shared" si="3"/>
        <v>0.89125093813374545</v>
      </c>
      <c r="E9" s="1">
        <f t="shared" si="4"/>
        <v>0.10874906186625455</v>
      </c>
      <c r="F9">
        <f t="shared" si="5"/>
        <v>58409.021481533142</v>
      </c>
      <c r="G9">
        <f t="shared" si="6"/>
        <v>58409</v>
      </c>
      <c r="H9" s="4" t="s">
        <v>71</v>
      </c>
      <c r="J9">
        <v>1792</v>
      </c>
      <c r="K9">
        <v>4194304</v>
      </c>
      <c r="L9">
        <v>3738176</v>
      </c>
      <c r="M9">
        <f t="shared" si="0"/>
        <v>0.8912506103515625</v>
      </c>
      <c r="N9">
        <f t="shared" si="7"/>
        <v>3.6777765826319887E-7</v>
      </c>
      <c r="O9">
        <f t="shared" si="1"/>
        <v>3.6777765826319885E-5</v>
      </c>
    </row>
    <row r="10" spans="1:15">
      <c r="A10">
        <v>9</v>
      </c>
      <c r="B10">
        <v>0</v>
      </c>
      <c r="C10">
        <v>1</v>
      </c>
      <c r="D10" s="1">
        <f t="shared" si="3"/>
        <v>1</v>
      </c>
      <c r="E10" s="1">
        <f t="shared" si="4"/>
        <v>0</v>
      </c>
      <c r="F10">
        <f t="shared" si="5"/>
        <v>65536</v>
      </c>
      <c r="G10">
        <f t="shared" si="6"/>
        <v>65536</v>
      </c>
      <c r="H10" s="4" t="s">
        <v>76</v>
      </c>
      <c r="J10">
        <v>2048</v>
      </c>
      <c r="K10">
        <v>4194304</v>
      </c>
      <c r="L10">
        <v>4194304</v>
      </c>
      <c r="M10">
        <f t="shared" si="0"/>
        <v>1</v>
      </c>
      <c r="N10">
        <f t="shared" si="7"/>
        <v>0</v>
      </c>
      <c r="O10">
        <f t="shared" si="1"/>
        <v>0</v>
      </c>
    </row>
    <row r="11" spans="1:15">
      <c r="A11">
        <v>10</v>
      </c>
      <c r="B11">
        <v>1</v>
      </c>
      <c r="C11">
        <f t="shared" si="2"/>
        <v>1.1220184543019636</v>
      </c>
      <c r="D11" s="1">
        <f t="shared" si="3"/>
        <v>1.1220184543019636</v>
      </c>
      <c r="E11" s="1">
        <f t="shared" si="4"/>
        <v>-0.12201845430196356</v>
      </c>
      <c r="F11">
        <f t="shared" si="5"/>
        <v>73532.601421133484</v>
      </c>
      <c r="G11">
        <f t="shared" si="6"/>
        <v>73533</v>
      </c>
      <c r="H11" s="4" t="s">
        <v>77</v>
      </c>
      <c r="J11">
        <v>2304</v>
      </c>
      <c r="K11">
        <v>4194304</v>
      </c>
      <c r="L11">
        <v>4706112</v>
      </c>
      <c r="M11">
        <f t="shared" si="0"/>
        <v>1.1220245361328125</v>
      </c>
      <c r="N11">
        <f t="shared" si="7"/>
        <v>-5.4204374496852493E-6</v>
      </c>
      <c r="O11">
        <f t="shared" si="1"/>
        <v>-5.4204374496852488E-4</v>
      </c>
    </row>
    <row r="12" spans="1:15">
      <c r="A12">
        <v>11</v>
      </c>
      <c r="B12">
        <v>2</v>
      </c>
      <c r="C12">
        <f t="shared" si="2"/>
        <v>1.2589254117941673</v>
      </c>
      <c r="D12" s="1">
        <f t="shared" si="3"/>
        <v>1.2589254117941673</v>
      </c>
      <c r="E12" s="1">
        <f t="shared" si="4"/>
        <v>-0.25892541179416728</v>
      </c>
      <c r="F12">
        <f t="shared" si="5"/>
        <v>82504.935787342547</v>
      </c>
      <c r="G12">
        <f t="shared" si="6"/>
        <v>82505</v>
      </c>
      <c r="H12" s="4">
        <v>28492</v>
      </c>
      <c r="J12">
        <v>2560</v>
      </c>
      <c r="K12">
        <v>4194304</v>
      </c>
      <c r="L12">
        <v>5280320</v>
      </c>
      <c r="M12">
        <f t="shared" si="0"/>
        <v>1.2589263916015625</v>
      </c>
      <c r="N12">
        <f t="shared" si="7"/>
        <v>-7.7828867861354994E-7</v>
      </c>
      <c r="O12">
        <f t="shared" si="1"/>
        <v>-7.7828867861354993E-5</v>
      </c>
    </row>
    <row r="13" spans="1:15">
      <c r="A13">
        <v>12</v>
      </c>
      <c r="B13">
        <v>3</v>
      </c>
      <c r="C13">
        <f t="shared" si="2"/>
        <v>1.4125375446227544</v>
      </c>
      <c r="D13" s="1">
        <f t="shared" si="3"/>
        <v>1.4125375446227544</v>
      </c>
      <c r="E13" s="1">
        <f t="shared" si="4"/>
        <v>-0.41253754462275438</v>
      </c>
      <c r="F13">
        <f t="shared" si="5"/>
        <v>92572.060524396831</v>
      </c>
      <c r="G13">
        <f t="shared" si="6"/>
        <v>92572</v>
      </c>
      <c r="H13" s="4" t="s">
        <v>72</v>
      </c>
      <c r="J13">
        <v>2816</v>
      </c>
      <c r="K13">
        <v>4194304</v>
      </c>
      <c r="L13">
        <v>5924608</v>
      </c>
      <c r="M13">
        <f t="shared" si="0"/>
        <v>1.41253662109375</v>
      </c>
      <c r="N13">
        <f t="shared" si="7"/>
        <v>6.5380846540861938E-7</v>
      </c>
      <c r="O13">
        <f t="shared" si="1"/>
        <v>6.5380846540861933E-5</v>
      </c>
    </row>
    <row r="14" spans="1:15">
      <c r="A14">
        <v>13</v>
      </c>
      <c r="B14">
        <v>4</v>
      </c>
      <c r="C14">
        <f t="shared" si="2"/>
        <v>1.5848931924611136</v>
      </c>
      <c r="D14" s="1">
        <f t="shared" si="3"/>
        <v>1.5848931924611136</v>
      </c>
      <c r="E14" s="1">
        <f t="shared" si="4"/>
        <v>-0.5848931924611136</v>
      </c>
      <c r="F14">
        <f t="shared" si="5"/>
        <v>103867.56026113154</v>
      </c>
      <c r="G14">
        <f t="shared" si="6"/>
        <v>103868</v>
      </c>
      <c r="H14" s="4" t="s">
        <v>73</v>
      </c>
      <c r="J14">
        <v>3072</v>
      </c>
      <c r="K14">
        <v>4194304</v>
      </c>
      <c r="L14">
        <v>6647552</v>
      </c>
      <c r="M14">
        <f t="shared" si="0"/>
        <v>1.58489990234375</v>
      </c>
      <c r="N14">
        <f t="shared" si="7"/>
        <v>-4.2336497300379905E-6</v>
      </c>
      <c r="O14">
        <f t="shared" si="1"/>
        <v>-4.2336497300379903E-4</v>
      </c>
    </row>
    <row r="15" spans="1:15">
      <c r="A15">
        <v>14</v>
      </c>
      <c r="B15">
        <v>5</v>
      </c>
      <c r="C15">
        <f t="shared" si="2"/>
        <v>1.778279410038923</v>
      </c>
      <c r="D15" s="1">
        <f t="shared" si="3"/>
        <v>1.778279410038923</v>
      </c>
      <c r="E15" s="1">
        <f t="shared" si="4"/>
        <v>-0.77827941003892298</v>
      </c>
      <c r="F15">
        <f t="shared" si="5"/>
        <v>116541.31941631086</v>
      </c>
      <c r="G15">
        <f>ROUND(F15,0)</f>
        <v>116541</v>
      </c>
      <c r="H15" s="4" t="s">
        <v>74</v>
      </c>
      <c r="J15">
        <v>3328</v>
      </c>
      <c r="K15">
        <v>4194304</v>
      </c>
      <c r="L15">
        <v>7458624</v>
      </c>
      <c r="M15">
        <f t="shared" si="0"/>
        <v>1.7782745361328125</v>
      </c>
      <c r="N15">
        <f t="shared" si="7"/>
        <v>2.7407988210210983E-6</v>
      </c>
      <c r="O15">
        <f t="shared" si="1"/>
        <v>2.7407988210210982E-4</v>
      </c>
    </row>
    <row r="16" spans="1:15">
      <c r="A16">
        <v>15</v>
      </c>
      <c r="B16">
        <v>6</v>
      </c>
      <c r="C16">
        <f t="shared" si="2"/>
        <v>1.9952623149688797</v>
      </c>
      <c r="D16" s="1">
        <f t="shared" si="3"/>
        <v>1.9952623149688797</v>
      </c>
      <c r="E16" s="1">
        <f t="shared" si="4"/>
        <v>-0.99526231496887974</v>
      </c>
      <c r="F16">
        <f t="shared" si="5"/>
        <v>130761.5110738005</v>
      </c>
      <c r="G16">
        <f t="shared" si="6"/>
        <v>130762</v>
      </c>
      <c r="H16" s="4" t="s">
        <v>75</v>
      </c>
      <c r="J16">
        <v>3584</v>
      </c>
      <c r="K16">
        <v>4194304</v>
      </c>
      <c r="L16">
        <v>8368768</v>
      </c>
      <c r="M16">
        <f t="shared" si="0"/>
        <v>1.995269775390625</v>
      </c>
      <c r="N16">
        <f t="shared" si="7"/>
        <v>-3.739068136201867E-6</v>
      </c>
      <c r="O16">
        <f t="shared" si="1"/>
        <v>-3.7390681362018671E-4</v>
      </c>
    </row>
    <row r="17" spans="1:15">
      <c r="A17">
        <v>16</v>
      </c>
      <c r="B17">
        <v>6</v>
      </c>
      <c r="C17">
        <f t="shared" si="2"/>
        <v>1.9952623149688797</v>
      </c>
      <c r="D17" s="1">
        <f t="shared" si="3"/>
        <v>1.9952623149688797</v>
      </c>
      <c r="E17" s="1">
        <f t="shared" si="4"/>
        <v>-0.99526231496887974</v>
      </c>
      <c r="F17">
        <f t="shared" si="5"/>
        <v>130761.5110738005</v>
      </c>
      <c r="G17">
        <f t="shared" si="6"/>
        <v>130762</v>
      </c>
      <c r="H17" s="4" t="s">
        <v>75</v>
      </c>
      <c r="J17">
        <v>3840</v>
      </c>
      <c r="K17">
        <v>4194304</v>
      </c>
      <c r="L17">
        <v>8368768</v>
      </c>
      <c r="M17">
        <f t="shared" si="0"/>
        <v>1.995269775390625</v>
      </c>
      <c r="N17">
        <f t="shared" si="7"/>
        <v>-3.739068136201867E-6</v>
      </c>
      <c r="O17">
        <f t="shared" si="1"/>
        <v>-3.7390681362018671E-4</v>
      </c>
    </row>
    <row r="18" spans="1:15">
      <c r="D18" s="1"/>
      <c r="E18" s="1"/>
      <c r="H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Trimmer</vt:lpstr>
      <vt:lpstr>Filters</vt:lpstr>
      <vt:lpstr>Original Vol Control</vt:lpstr>
      <vt:lpstr>EQ 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Agrawal</dc:creator>
  <cp:lastModifiedBy>Kush Agrawal</cp:lastModifiedBy>
  <dcterms:created xsi:type="dcterms:W3CDTF">2026-08-20T15:29:40Z</dcterms:created>
  <dcterms:modified xsi:type="dcterms:W3CDTF">2026-10-15T19:04:08Z</dcterms:modified>
</cp:coreProperties>
</file>